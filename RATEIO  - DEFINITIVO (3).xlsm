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2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enacpr-my.sharepoint.com/personal/michel_farias_pr_senac_br/Documents/"/>
    </mc:Choice>
  </mc:AlternateContent>
  <xr:revisionPtr revIDLastSave="0" documentId="8_{5BE5EE59-DA7A-41E8-A891-7D777E92FBD9}" xr6:coauthVersionLast="47" xr6:coauthVersionMax="47" xr10:uidLastSave="{00000000-0000-0000-0000-000000000000}"/>
  <bookViews>
    <workbookView xWindow="-120" yWindow="-120" windowWidth="29040" windowHeight="15720" activeTab="6" xr2:uid="{31679457-B7A8-4A0B-91C1-C89BA928F529}"/>
  </bookViews>
  <sheets>
    <sheet name="RATEIO - VISITAS " sheetId="1" r:id="rId1"/>
    <sheet name="RATEIO - ADMINISTRATIVO" sheetId="15" r:id="rId2"/>
    <sheet name="CONTROLE DE HORAS - RATEIO" sheetId="13" r:id="rId3"/>
    <sheet name="CONTROLE DE HORAS - TURMAS PR" sheetId="14" r:id="rId4"/>
    <sheet name="CONTROLE DE HORAS POR TURMA PR" sheetId="9" r:id="rId5"/>
    <sheet name="CONTROLE DE HORA - Michelly " sheetId="8" state="hidden" r:id="rId6"/>
    <sheet name="CC" sheetId="2" r:id="rId7"/>
  </sheets>
  <definedNames>
    <definedName name="_xlnm._FilterDatabase" localSheetId="5" hidden="1">'CONTROLE DE HORA - Michelly '!$A$1:$N$23</definedName>
    <definedName name="_xlnm._FilterDatabase" localSheetId="4" hidden="1">'CONTROLE DE HORAS POR TURMA PR'!$A$4:$A$915</definedName>
    <definedName name="_xlnm._FilterDatabase" localSheetId="6" hidden="1">CC!$A$1:$B$1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1" l="1"/>
  <c r="B26" i="1"/>
  <c r="B33" i="1"/>
  <c r="B11" i="15"/>
  <c r="B98" i="1"/>
  <c r="B12" i="1"/>
  <c r="B134" i="1"/>
  <c r="B128" i="1"/>
  <c r="B122" i="1"/>
  <c r="B61" i="1"/>
  <c r="B54" i="1"/>
  <c r="B47" i="1"/>
  <c r="B86" i="1"/>
  <c r="B23" i="15"/>
  <c r="B17" i="15"/>
  <c r="C7" i="14"/>
  <c r="DA45" i="13"/>
  <c r="DA44" i="13"/>
  <c r="DA43" i="13"/>
  <c r="DA42" i="13"/>
  <c r="DA41" i="13"/>
  <c r="DA40" i="13"/>
  <c r="DA39" i="13"/>
  <c r="DA38" i="13"/>
  <c r="DA37" i="13"/>
  <c r="DA36" i="13"/>
  <c r="DA35" i="13"/>
  <c r="DA34" i="13"/>
  <c r="DA33" i="13"/>
  <c r="DA32" i="13"/>
  <c r="DA31" i="13"/>
  <c r="DA30" i="13"/>
  <c r="DA29" i="13"/>
  <c r="DA28" i="13"/>
  <c r="DA27" i="13"/>
  <c r="DA26" i="13"/>
  <c r="DA25" i="13"/>
  <c r="DA24" i="13"/>
  <c r="DA23" i="13"/>
  <c r="DA22" i="13"/>
  <c r="DA21" i="13"/>
  <c r="DA20" i="13"/>
  <c r="DA19" i="13"/>
  <c r="DA18" i="13"/>
  <c r="DA17" i="13"/>
  <c r="DA16" i="13"/>
  <c r="DA15" i="13"/>
  <c r="DA14" i="13"/>
  <c r="DA13" i="13"/>
  <c r="DA12" i="13"/>
  <c r="DA11" i="13"/>
  <c r="DA10" i="13"/>
  <c r="DA9" i="13"/>
  <c r="DA8" i="13"/>
  <c r="DA7" i="13"/>
  <c r="DA6" i="13"/>
  <c r="DA5" i="13"/>
  <c r="DA4" i="13"/>
  <c r="DA3" i="13"/>
  <c r="DA46" i="13" s="1"/>
  <c r="AP4" i="13"/>
  <c r="AP5" i="13"/>
  <c r="I9" i="13"/>
  <c r="I10" i="13"/>
  <c r="I11" i="13"/>
  <c r="I12" i="13"/>
  <c r="I13" i="13"/>
  <c r="I14" i="13"/>
  <c r="B68" i="1"/>
  <c r="B19" i="1"/>
  <c r="CO4" i="13"/>
  <c r="BW3" i="13"/>
  <c r="BZ3" i="13"/>
  <c r="CC3" i="13"/>
  <c r="CF3" i="13"/>
  <c r="CI3" i="13"/>
  <c r="CL3" i="13"/>
  <c r="CR3" i="13"/>
  <c r="CU3" i="13"/>
  <c r="CX3" i="13"/>
  <c r="CX45" i="13"/>
  <c r="CX44" i="13"/>
  <c r="CX43" i="13"/>
  <c r="CX42" i="13"/>
  <c r="CX41" i="13"/>
  <c r="CX40" i="13"/>
  <c r="CX39" i="13"/>
  <c r="CX38" i="13"/>
  <c r="CX37" i="13"/>
  <c r="CX36" i="13"/>
  <c r="CX35" i="13"/>
  <c r="CX34" i="13"/>
  <c r="CX33" i="13"/>
  <c r="CX32" i="13"/>
  <c r="CX31" i="13"/>
  <c r="CX30" i="13"/>
  <c r="CX29" i="13"/>
  <c r="CX28" i="13"/>
  <c r="CX27" i="13"/>
  <c r="CX26" i="13"/>
  <c r="CX25" i="13"/>
  <c r="CX24" i="13"/>
  <c r="CX23" i="13"/>
  <c r="CX22" i="13"/>
  <c r="CX21" i="13"/>
  <c r="CX20" i="13"/>
  <c r="CX19" i="13"/>
  <c r="CX18" i="13"/>
  <c r="CX17" i="13"/>
  <c r="CX16" i="13"/>
  <c r="CX15" i="13"/>
  <c r="CX14" i="13"/>
  <c r="CX13" i="13"/>
  <c r="CX12" i="13"/>
  <c r="CX11" i="13"/>
  <c r="CX10" i="13"/>
  <c r="CX9" i="13"/>
  <c r="CX8" i="13"/>
  <c r="CX7" i="13"/>
  <c r="CX6" i="13"/>
  <c r="CX5" i="13"/>
  <c r="CX4" i="13"/>
  <c r="CX46" i="13"/>
  <c r="AD4" i="14" s="1"/>
  <c r="CU45" i="13"/>
  <c r="CU44" i="13"/>
  <c r="CU43" i="13"/>
  <c r="CU42" i="13"/>
  <c r="CU41" i="13"/>
  <c r="CU40" i="13"/>
  <c r="CU39" i="13"/>
  <c r="CU38" i="13"/>
  <c r="CU37" i="13"/>
  <c r="CU36" i="13"/>
  <c r="CU35" i="13"/>
  <c r="CU34" i="13"/>
  <c r="CU33" i="13"/>
  <c r="CU32" i="13"/>
  <c r="CU31" i="13"/>
  <c r="CU30" i="13"/>
  <c r="CU29" i="13"/>
  <c r="CU28" i="13"/>
  <c r="CU27" i="13"/>
  <c r="CU26" i="13"/>
  <c r="CU25" i="13"/>
  <c r="CU24" i="13"/>
  <c r="CU23" i="13"/>
  <c r="CU22" i="13"/>
  <c r="CU21" i="13"/>
  <c r="CU20" i="13"/>
  <c r="CU19" i="13"/>
  <c r="CU18" i="13"/>
  <c r="CU17" i="13"/>
  <c r="CU16" i="13"/>
  <c r="CU15" i="13"/>
  <c r="CU14" i="13"/>
  <c r="CU13" i="13"/>
  <c r="CU12" i="13"/>
  <c r="CU11" i="13"/>
  <c r="CU10" i="13"/>
  <c r="CU9" i="13"/>
  <c r="CU8" i="13"/>
  <c r="CU7" i="13"/>
  <c r="CU6" i="13"/>
  <c r="CU5" i="13"/>
  <c r="CU4" i="13"/>
  <c r="CU46" i="13"/>
  <c r="AC4" i="14" s="1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4" i="13"/>
  <c r="CR46" i="13"/>
  <c r="R4" i="14" s="1"/>
  <c r="CO45" i="13"/>
  <c r="CO44" i="13"/>
  <c r="CO43" i="13"/>
  <c r="CO42" i="13"/>
  <c r="CO41" i="13"/>
  <c r="CO40" i="13"/>
  <c r="CO39" i="13"/>
  <c r="CO38" i="13"/>
  <c r="CO37" i="13"/>
  <c r="CO36" i="13"/>
  <c r="CO35" i="13"/>
  <c r="CO34" i="13"/>
  <c r="CO33" i="13"/>
  <c r="CO32" i="13"/>
  <c r="CO31" i="13"/>
  <c r="CO30" i="13"/>
  <c r="CO29" i="13"/>
  <c r="CO28" i="13"/>
  <c r="CO27" i="13"/>
  <c r="CO26" i="13"/>
  <c r="CO25" i="13"/>
  <c r="CO24" i="13"/>
  <c r="CO23" i="13"/>
  <c r="CO22" i="13"/>
  <c r="CO21" i="13"/>
  <c r="CO20" i="13"/>
  <c r="CO19" i="13"/>
  <c r="CO18" i="13"/>
  <c r="CO17" i="13"/>
  <c r="CO16" i="13"/>
  <c r="CO15" i="13"/>
  <c r="CO14" i="13"/>
  <c r="CO13" i="13"/>
  <c r="CO12" i="13"/>
  <c r="CO11" i="13"/>
  <c r="CO10" i="13"/>
  <c r="CO9" i="13"/>
  <c r="CO8" i="13"/>
  <c r="CO7" i="13"/>
  <c r="CO6" i="13"/>
  <c r="CO5" i="13"/>
  <c r="CO3" i="13"/>
  <c r="CO46" i="13"/>
  <c r="N4" i="14" s="1"/>
  <c r="CL45" i="13"/>
  <c r="CL44" i="13"/>
  <c r="CL43" i="13"/>
  <c r="CL42" i="13"/>
  <c r="CL41" i="13"/>
  <c r="CL40" i="13"/>
  <c r="CL39" i="13"/>
  <c r="CL38" i="13"/>
  <c r="CL37" i="13"/>
  <c r="CL36" i="13"/>
  <c r="CL35" i="13"/>
  <c r="CL34" i="13"/>
  <c r="CL33" i="13"/>
  <c r="CL32" i="13"/>
  <c r="CL31" i="13"/>
  <c r="CL30" i="13"/>
  <c r="CL29" i="13"/>
  <c r="CL28" i="13"/>
  <c r="CL27" i="13"/>
  <c r="CL26" i="13"/>
  <c r="CL25" i="13"/>
  <c r="CL24" i="13"/>
  <c r="CL23" i="13"/>
  <c r="CL22" i="13"/>
  <c r="CL21" i="13"/>
  <c r="CL20" i="13"/>
  <c r="CL19" i="13"/>
  <c r="CL18" i="13"/>
  <c r="CL17" i="13"/>
  <c r="CL16" i="13"/>
  <c r="CL15" i="13"/>
  <c r="CL14" i="13"/>
  <c r="CL13" i="13"/>
  <c r="CL12" i="13"/>
  <c r="CL11" i="13"/>
  <c r="CL10" i="13"/>
  <c r="CL9" i="13"/>
  <c r="CL8" i="13"/>
  <c r="CL7" i="13"/>
  <c r="CL6" i="13"/>
  <c r="CL5" i="13"/>
  <c r="CL4" i="13"/>
  <c r="CL46" i="13"/>
  <c r="L4" i="14" s="1"/>
  <c r="CI45" i="13"/>
  <c r="CI44" i="13"/>
  <c r="CI43" i="13"/>
  <c r="CI42" i="13"/>
  <c r="CI41" i="13"/>
  <c r="CI40" i="13"/>
  <c r="CI39" i="13"/>
  <c r="CI38" i="13"/>
  <c r="CI37" i="13"/>
  <c r="CI36" i="13"/>
  <c r="CI35" i="13"/>
  <c r="CI34" i="13"/>
  <c r="CI33" i="13"/>
  <c r="CI32" i="13"/>
  <c r="CI31" i="13"/>
  <c r="CI30" i="13"/>
  <c r="CI29" i="13"/>
  <c r="CI28" i="13"/>
  <c r="CI27" i="13"/>
  <c r="CI26" i="13"/>
  <c r="CI25" i="13"/>
  <c r="CI24" i="13"/>
  <c r="CI23" i="13"/>
  <c r="CI22" i="13"/>
  <c r="CI21" i="13"/>
  <c r="CI20" i="13"/>
  <c r="CI19" i="13"/>
  <c r="CI18" i="13"/>
  <c r="CI17" i="13"/>
  <c r="CI16" i="13"/>
  <c r="CI15" i="13"/>
  <c r="CI14" i="13"/>
  <c r="CI13" i="13"/>
  <c r="CI12" i="13"/>
  <c r="CI11" i="13"/>
  <c r="CI10" i="13"/>
  <c r="CI9" i="13"/>
  <c r="CI8" i="13"/>
  <c r="CI7" i="13"/>
  <c r="CI6" i="13"/>
  <c r="CI5" i="13"/>
  <c r="CI4" i="13"/>
  <c r="CI46" i="13"/>
  <c r="J4" i="14" s="1"/>
  <c r="CF45" i="13"/>
  <c r="CF44" i="13"/>
  <c r="CF43" i="13"/>
  <c r="CF42" i="13"/>
  <c r="CF41" i="13"/>
  <c r="CF40" i="13"/>
  <c r="CF39" i="13"/>
  <c r="CF38" i="13"/>
  <c r="CF37" i="13"/>
  <c r="CF36" i="13"/>
  <c r="CF35" i="13"/>
  <c r="CF34" i="13"/>
  <c r="CF33" i="13"/>
  <c r="CF32" i="13"/>
  <c r="CF31" i="13"/>
  <c r="CF30" i="13"/>
  <c r="CF29" i="13"/>
  <c r="CF28" i="13"/>
  <c r="CF27" i="13"/>
  <c r="CF26" i="13"/>
  <c r="CF25" i="13"/>
  <c r="CF24" i="13"/>
  <c r="CF23" i="13"/>
  <c r="CF22" i="13"/>
  <c r="CF21" i="13"/>
  <c r="CF20" i="13"/>
  <c r="CF19" i="13"/>
  <c r="CF18" i="13"/>
  <c r="CF17" i="13"/>
  <c r="CF16" i="13"/>
  <c r="CF15" i="13"/>
  <c r="CF14" i="13"/>
  <c r="CF13" i="13"/>
  <c r="CF12" i="13"/>
  <c r="CF11" i="13"/>
  <c r="CF10" i="13"/>
  <c r="CF9" i="13"/>
  <c r="CF8" i="13"/>
  <c r="CF7" i="13"/>
  <c r="CF6" i="13"/>
  <c r="CF5" i="13"/>
  <c r="CF4" i="13"/>
  <c r="CF46" i="13"/>
  <c r="I4" i="14" s="1"/>
  <c r="CC45" i="13"/>
  <c r="CC44" i="13"/>
  <c r="CC43" i="13"/>
  <c r="CC42" i="13"/>
  <c r="CC41" i="13"/>
  <c r="CC40" i="13"/>
  <c r="CC39" i="13"/>
  <c r="CC38" i="13"/>
  <c r="CC37" i="13"/>
  <c r="CC36" i="13"/>
  <c r="CC35" i="13"/>
  <c r="CC34" i="13"/>
  <c r="CC33" i="13"/>
  <c r="CC32" i="13"/>
  <c r="CC31" i="13"/>
  <c r="CC30" i="13"/>
  <c r="CC29" i="13"/>
  <c r="CC28" i="13"/>
  <c r="CC27" i="13"/>
  <c r="CC26" i="13"/>
  <c r="CC25" i="13"/>
  <c r="CC24" i="13"/>
  <c r="CC23" i="13"/>
  <c r="CC22" i="13"/>
  <c r="CC21" i="13"/>
  <c r="CC20" i="13"/>
  <c r="CC19" i="13"/>
  <c r="CC18" i="13"/>
  <c r="CC17" i="13"/>
  <c r="CC16" i="13"/>
  <c r="CC15" i="13"/>
  <c r="CC14" i="13"/>
  <c r="CC13" i="13"/>
  <c r="CC12" i="13"/>
  <c r="CC11" i="13"/>
  <c r="CC10" i="13"/>
  <c r="CC9" i="13"/>
  <c r="CC8" i="13"/>
  <c r="CC7" i="13"/>
  <c r="CC6" i="13"/>
  <c r="CC5" i="13"/>
  <c r="CC4" i="13"/>
  <c r="CC46" i="13"/>
  <c r="H4" i="14" s="1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Z4" i="13"/>
  <c r="BZ46" i="13"/>
  <c r="B4" i="14" s="1"/>
  <c r="BW45" i="13"/>
  <c r="BW44" i="13"/>
  <c r="BW43" i="13"/>
  <c r="BW42" i="13"/>
  <c r="BW41" i="13"/>
  <c r="BW40" i="13"/>
  <c r="BW39" i="13"/>
  <c r="BW38" i="13"/>
  <c r="BW37" i="13"/>
  <c r="BW36" i="13"/>
  <c r="BW35" i="13"/>
  <c r="BW34" i="13"/>
  <c r="BW33" i="13"/>
  <c r="BW32" i="13"/>
  <c r="BW31" i="13"/>
  <c r="BW30" i="13"/>
  <c r="BW29" i="13"/>
  <c r="BW28" i="13"/>
  <c r="BW27" i="13"/>
  <c r="BW26" i="13"/>
  <c r="BW25" i="13"/>
  <c r="BW24" i="13"/>
  <c r="BW23" i="13"/>
  <c r="BW22" i="13"/>
  <c r="BW21" i="13"/>
  <c r="BW20" i="13"/>
  <c r="BW19" i="13"/>
  <c r="BW18" i="13"/>
  <c r="BW17" i="13"/>
  <c r="BW16" i="13"/>
  <c r="BW15" i="13"/>
  <c r="BW14" i="13"/>
  <c r="BW13" i="13"/>
  <c r="BW12" i="13"/>
  <c r="BW11" i="13"/>
  <c r="BW10" i="13"/>
  <c r="BW9" i="13"/>
  <c r="BW8" i="13"/>
  <c r="BW7" i="13"/>
  <c r="BW6" i="13"/>
  <c r="BW5" i="13"/>
  <c r="BW4" i="13"/>
  <c r="BW46" i="13"/>
  <c r="A4" i="14" s="1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T4" i="13"/>
  <c r="BT3" i="13"/>
  <c r="BT46" i="13" s="1"/>
  <c r="BQ45" i="13"/>
  <c r="BQ44" i="13"/>
  <c r="BQ43" i="13"/>
  <c r="BQ42" i="13"/>
  <c r="BQ41" i="13"/>
  <c r="BQ40" i="13"/>
  <c r="BQ39" i="13"/>
  <c r="BQ38" i="13"/>
  <c r="BQ37" i="13"/>
  <c r="BQ36" i="13"/>
  <c r="BQ35" i="13"/>
  <c r="BQ34" i="13"/>
  <c r="BQ33" i="13"/>
  <c r="BQ32" i="13"/>
  <c r="BQ31" i="13"/>
  <c r="BQ30" i="13"/>
  <c r="BQ29" i="13"/>
  <c r="BQ28" i="13"/>
  <c r="BQ27" i="13"/>
  <c r="BQ26" i="13"/>
  <c r="BQ25" i="13"/>
  <c r="BQ24" i="13"/>
  <c r="BQ23" i="13"/>
  <c r="BQ22" i="13"/>
  <c r="BQ21" i="13"/>
  <c r="BQ20" i="13"/>
  <c r="BQ19" i="13"/>
  <c r="BQ18" i="13"/>
  <c r="BQ17" i="13"/>
  <c r="BQ16" i="13"/>
  <c r="BQ15" i="13"/>
  <c r="BQ14" i="13"/>
  <c r="BQ13" i="13"/>
  <c r="BQ12" i="13"/>
  <c r="BQ11" i="13"/>
  <c r="BQ10" i="13"/>
  <c r="BQ9" i="13"/>
  <c r="BQ8" i="13"/>
  <c r="BQ7" i="13"/>
  <c r="BQ6" i="13"/>
  <c r="BQ5" i="13"/>
  <c r="BQ4" i="13"/>
  <c r="BQ3" i="13"/>
  <c r="BQ46" i="13" s="1"/>
  <c r="BN3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N4" i="13"/>
  <c r="BN46" i="13" s="1"/>
  <c r="H3" i="9"/>
  <c r="I9" i="9"/>
  <c r="B3" i="9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K21" i="13"/>
  <c r="BK20" i="13"/>
  <c r="BK19" i="13"/>
  <c r="BK18" i="13"/>
  <c r="BK17" i="13"/>
  <c r="BK16" i="13"/>
  <c r="BK15" i="13"/>
  <c r="BK14" i="13"/>
  <c r="BK13" i="13"/>
  <c r="BK12" i="13"/>
  <c r="BK11" i="13"/>
  <c r="BK10" i="13"/>
  <c r="BK9" i="13"/>
  <c r="BK8" i="13"/>
  <c r="BK7" i="13"/>
  <c r="BK6" i="13"/>
  <c r="BK5" i="13"/>
  <c r="BK4" i="13"/>
  <c r="BK46" i="13" s="1"/>
  <c r="E4" i="14" s="1"/>
  <c r="BH45" i="13"/>
  <c r="BH44" i="13"/>
  <c r="BH43" i="13"/>
  <c r="BH42" i="13"/>
  <c r="BH41" i="13"/>
  <c r="BH40" i="13"/>
  <c r="BH39" i="13"/>
  <c r="BH38" i="13"/>
  <c r="BH37" i="13"/>
  <c r="BH36" i="13"/>
  <c r="BH35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H4" i="13"/>
  <c r="BH46" i="13" s="1"/>
  <c r="AE4" i="14" s="1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E21" i="13"/>
  <c r="BE20" i="13"/>
  <c r="BE19" i="13"/>
  <c r="BE18" i="13"/>
  <c r="BE17" i="13"/>
  <c r="BE16" i="13"/>
  <c r="BE15" i="13"/>
  <c r="BE14" i="13"/>
  <c r="BE13" i="13"/>
  <c r="BE12" i="13"/>
  <c r="BE11" i="13"/>
  <c r="BE10" i="13"/>
  <c r="BE9" i="13"/>
  <c r="BE8" i="13"/>
  <c r="BE7" i="13"/>
  <c r="BE6" i="13"/>
  <c r="BE5" i="13"/>
  <c r="BE4" i="13"/>
  <c r="BE46" i="13" s="1"/>
  <c r="AB4" i="14" s="1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BB4" i="13"/>
  <c r="BB46" i="13" s="1"/>
  <c r="X4" i="14" s="1"/>
  <c r="AY45" i="13"/>
  <c r="AY44" i="13"/>
  <c r="AY43" i="13"/>
  <c r="AY42" i="13"/>
  <c r="AY41" i="13"/>
  <c r="AY40" i="13"/>
  <c r="AY39" i="13"/>
  <c r="AY38" i="13"/>
  <c r="AY37" i="13"/>
  <c r="AY36" i="13"/>
  <c r="AY35" i="13"/>
  <c r="AY34" i="13"/>
  <c r="AY33" i="13"/>
  <c r="AY32" i="13"/>
  <c r="AY31" i="13"/>
  <c r="AY30" i="13"/>
  <c r="AY29" i="13"/>
  <c r="AY28" i="13"/>
  <c r="AY27" i="13"/>
  <c r="AY26" i="13"/>
  <c r="AY25" i="13"/>
  <c r="AY24" i="13"/>
  <c r="AY23" i="13"/>
  <c r="AY22" i="13"/>
  <c r="AY21" i="13"/>
  <c r="AY20" i="13"/>
  <c r="AY19" i="13"/>
  <c r="AY18" i="13"/>
  <c r="AY17" i="13"/>
  <c r="AY16" i="13"/>
  <c r="AY15" i="13"/>
  <c r="AY14" i="13"/>
  <c r="AY13" i="13"/>
  <c r="AY12" i="13"/>
  <c r="AY11" i="13"/>
  <c r="AY10" i="13"/>
  <c r="AY9" i="13"/>
  <c r="AY8" i="13"/>
  <c r="AY7" i="13"/>
  <c r="AY6" i="13"/>
  <c r="AY5" i="13"/>
  <c r="AY4" i="13"/>
  <c r="AY3" i="13"/>
  <c r="AY46" i="13" s="1"/>
  <c r="AA4" i="14" s="1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V4" i="13"/>
  <c r="AV3" i="13"/>
  <c r="AV46" i="13" s="1"/>
  <c r="Z4" i="14" s="1"/>
  <c r="AS45" i="13"/>
  <c r="AS44" i="13"/>
  <c r="AS43" i="13"/>
  <c r="AS42" i="13"/>
  <c r="AS41" i="13"/>
  <c r="AS40" i="13"/>
  <c r="AS39" i="13"/>
  <c r="AS38" i="13"/>
  <c r="AS37" i="13"/>
  <c r="AS36" i="13"/>
  <c r="AS35" i="13"/>
  <c r="AS34" i="13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10" i="13"/>
  <c r="AS9" i="13"/>
  <c r="AS8" i="13"/>
  <c r="AS7" i="13"/>
  <c r="AS6" i="13"/>
  <c r="AS5" i="13"/>
  <c r="AS4" i="13"/>
  <c r="AS3" i="13"/>
  <c r="AS46" i="13" s="1"/>
  <c r="Y4" i="14" s="1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AM6" i="13"/>
  <c r="AM5" i="13"/>
  <c r="AM4" i="13"/>
  <c r="AM46" i="13" s="1"/>
  <c r="V4" i="14" s="1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J4" i="13"/>
  <c r="AJ46" i="13" s="1"/>
  <c r="U4" i="14" s="1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46" i="13" s="1"/>
  <c r="T4" i="14" s="1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46" i="13" s="1"/>
  <c r="S4" i="14" s="1"/>
  <c r="AA45" i="13"/>
  <c r="AA44" i="13"/>
  <c r="AA43" i="13"/>
  <c r="AA42" i="13"/>
  <c r="AA41" i="13"/>
  <c r="AA40" i="13"/>
  <c r="AA39" i="13"/>
  <c r="AA38" i="13"/>
  <c r="AA37" i="13"/>
  <c r="AA36" i="13"/>
  <c r="AA35" i="13"/>
  <c r="AA34" i="13"/>
  <c r="AA33" i="13"/>
  <c r="AA32" i="13"/>
  <c r="AA31" i="13"/>
  <c r="AA30" i="13"/>
  <c r="AA29" i="13"/>
  <c r="AA28" i="13"/>
  <c r="AA27" i="13"/>
  <c r="AA26" i="13"/>
  <c r="AA25" i="13"/>
  <c r="AA24" i="13"/>
  <c r="AA23" i="13"/>
  <c r="AA22" i="13"/>
  <c r="AA21" i="13"/>
  <c r="AA20" i="13"/>
  <c r="AA19" i="13"/>
  <c r="AA18" i="13"/>
  <c r="AA17" i="13"/>
  <c r="AA16" i="13"/>
  <c r="AA15" i="13"/>
  <c r="AA14" i="13"/>
  <c r="AA13" i="13"/>
  <c r="AA12" i="13"/>
  <c r="AA11" i="13"/>
  <c r="AA10" i="13"/>
  <c r="AA9" i="13"/>
  <c r="AA8" i="13"/>
  <c r="AA7" i="13"/>
  <c r="AA6" i="13"/>
  <c r="AA5" i="13"/>
  <c r="AA4" i="13"/>
  <c r="X45" i="13"/>
  <c r="X44" i="13"/>
  <c r="X43" i="13"/>
  <c r="X42" i="13"/>
  <c r="X41" i="13"/>
  <c r="X40" i="13"/>
  <c r="X39" i="13"/>
  <c r="X38" i="13"/>
  <c r="X37" i="13"/>
  <c r="X36" i="13"/>
  <c r="X35" i="13"/>
  <c r="X34" i="13"/>
  <c r="X33" i="13"/>
  <c r="X32" i="13"/>
  <c r="X31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X9" i="13"/>
  <c r="X8" i="13"/>
  <c r="X7" i="13"/>
  <c r="X6" i="13"/>
  <c r="X5" i="13"/>
  <c r="X4" i="13"/>
  <c r="X46" i="13" s="1"/>
  <c r="P4" i="14" s="1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U4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46" i="13" s="1"/>
  <c r="M4" i="14" s="1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46" i="13" s="1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8" i="13"/>
  <c r="I7" i="13"/>
  <c r="I6" i="13"/>
  <c r="I5" i="13"/>
  <c r="I4" i="13"/>
  <c r="I46" i="13" s="1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46" i="13" s="1"/>
  <c r="G4" i="14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3" i="8"/>
  <c r="C46" i="13" l="1"/>
  <c r="D4" i="14" s="1"/>
  <c r="AP46" i="13"/>
  <c r="W4" i="14" s="1"/>
  <c r="F4" i="14"/>
  <c r="C4" i="14"/>
  <c r="U46" i="13"/>
  <c r="O4" i="14" s="1"/>
  <c r="O46" i="13"/>
  <c r="K4" i="14" s="1"/>
  <c r="AA46" i="13"/>
  <c r="Q4" i="14" s="1"/>
  <c r="V23" i="8"/>
  <c r="V22" i="8"/>
  <c r="V21" i="8"/>
  <c r="V20" i="8"/>
  <c r="B116" i="1"/>
  <c r="B110" i="1"/>
  <c r="B918" i="9"/>
  <c r="I22" i="9" l="1"/>
  <c r="I20" i="9"/>
  <c r="I34" i="9"/>
  <c r="I32" i="9"/>
  <c r="I28" i="9"/>
  <c r="I27" i="9"/>
  <c r="I33" i="9"/>
  <c r="I17" i="9"/>
  <c r="I15" i="9"/>
  <c r="I14" i="9"/>
  <c r="I13" i="9"/>
  <c r="I12" i="9"/>
  <c r="I30" i="9"/>
  <c r="I26" i="9"/>
  <c r="I25" i="9"/>
  <c r="I23" i="9"/>
  <c r="I18" i="9"/>
  <c r="I11" i="9"/>
  <c r="I10" i="9"/>
  <c r="I35" i="9"/>
  <c r="I29" i="9"/>
  <c r="I8" i="9"/>
  <c r="I31" i="9"/>
  <c r="I24" i="9"/>
  <c r="I21" i="9"/>
  <c r="I19" i="9"/>
  <c r="I16" i="9"/>
  <c r="I7" i="9"/>
  <c r="I6" i="9"/>
  <c r="I5" i="9"/>
  <c r="G3" i="9" s="1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5" i="9"/>
  <c r="B917" i="9"/>
  <c r="C36" i="9"/>
  <c r="F36" i="9" s="1"/>
  <c r="G36" i="9" s="1"/>
  <c r="C37" i="9"/>
  <c r="F37" i="9" s="1"/>
  <c r="G37" i="9" s="1"/>
  <c r="C38" i="9"/>
  <c r="F38" i="9" s="1"/>
  <c r="G38" i="9" s="1"/>
  <c r="C39" i="9"/>
  <c r="F39" i="9" s="1"/>
  <c r="G39" i="9" s="1"/>
  <c r="C40" i="9"/>
  <c r="F40" i="9" s="1"/>
  <c r="G40" i="9" s="1"/>
  <c r="C41" i="9"/>
  <c r="F41" i="9" s="1"/>
  <c r="G41" i="9" s="1"/>
  <c r="C42" i="9"/>
  <c r="F42" i="9" s="1"/>
  <c r="G42" i="9" s="1"/>
  <c r="C43" i="9"/>
  <c r="F43" i="9" s="1"/>
  <c r="G43" i="9" s="1"/>
  <c r="C44" i="9"/>
  <c r="F44" i="9" s="1"/>
  <c r="G44" i="9" s="1"/>
  <c r="C45" i="9"/>
  <c r="F45" i="9" s="1"/>
  <c r="G45" i="9" s="1"/>
  <c r="C46" i="9"/>
  <c r="F46" i="9" s="1"/>
  <c r="G46" i="9" s="1"/>
  <c r="C47" i="9"/>
  <c r="F47" i="9" s="1"/>
  <c r="G47" i="9" s="1"/>
  <c r="C48" i="9"/>
  <c r="F48" i="9" s="1"/>
  <c r="G48" i="9" s="1"/>
  <c r="C49" i="9"/>
  <c r="F49" i="9" s="1"/>
  <c r="G49" i="9" s="1"/>
  <c r="C50" i="9"/>
  <c r="F50" i="9" s="1"/>
  <c r="G50" i="9" s="1"/>
  <c r="C51" i="9"/>
  <c r="F51" i="9" s="1"/>
  <c r="G51" i="9" s="1"/>
  <c r="C52" i="9"/>
  <c r="F52" i="9" s="1"/>
  <c r="G52" i="9" s="1"/>
  <c r="C53" i="9"/>
  <c r="F53" i="9" s="1"/>
  <c r="G53" i="9" s="1"/>
  <c r="C54" i="9"/>
  <c r="F54" i="9" s="1"/>
  <c r="G54" i="9" s="1"/>
  <c r="C55" i="9"/>
  <c r="F55" i="9" s="1"/>
  <c r="G55" i="9" s="1"/>
  <c r="C56" i="9"/>
  <c r="F56" i="9" s="1"/>
  <c r="G56" i="9" s="1"/>
  <c r="C57" i="9"/>
  <c r="F57" i="9" s="1"/>
  <c r="G57" i="9" s="1"/>
  <c r="C58" i="9"/>
  <c r="F58" i="9" s="1"/>
  <c r="G58" i="9" s="1"/>
  <c r="C59" i="9"/>
  <c r="F59" i="9" s="1"/>
  <c r="G59" i="9" s="1"/>
  <c r="C60" i="9"/>
  <c r="F60" i="9" s="1"/>
  <c r="G60" i="9" s="1"/>
  <c r="C61" i="9"/>
  <c r="F61" i="9" s="1"/>
  <c r="G61" i="9" s="1"/>
  <c r="C62" i="9"/>
  <c r="F62" i="9" s="1"/>
  <c r="G62" i="9" s="1"/>
  <c r="C63" i="9"/>
  <c r="F63" i="9" s="1"/>
  <c r="G63" i="9" s="1"/>
  <c r="C64" i="9"/>
  <c r="F64" i="9" s="1"/>
  <c r="G64" i="9" s="1"/>
  <c r="C65" i="9"/>
  <c r="F65" i="9" s="1"/>
  <c r="G65" i="9" s="1"/>
  <c r="C66" i="9"/>
  <c r="F66" i="9" s="1"/>
  <c r="G66" i="9" s="1"/>
  <c r="C67" i="9"/>
  <c r="F67" i="9" s="1"/>
  <c r="G67" i="9" s="1"/>
  <c r="C68" i="9"/>
  <c r="F68" i="9" s="1"/>
  <c r="G68" i="9" s="1"/>
  <c r="C69" i="9"/>
  <c r="F69" i="9" s="1"/>
  <c r="G69" i="9" s="1"/>
  <c r="C70" i="9"/>
  <c r="F70" i="9" s="1"/>
  <c r="G70" i="9" s="1"/>
  <c r="C71" i="9"/>
  <c r="F71" i="9" s="1"/>
  <c r="G71" i="9" s="1"/>
  <c r="C72" i="9"/>
  <c r="F72" i="9" s="1"/>
  <c r="G72" i="9" s="1"/>
  <c r="C73" i="9"/>
  <c r="F73" i="9" s="1"/>
  <c r="G73" i="9" s="1"/>
  <c r="C74" i="9"/>
  <c r="F74" i="9" s="1"/>
  <c r="G74" i="9" s="1"/>
  <c r="C75" i="9"/>
  <c r="F75" i="9" s="1"/>
  <c r="G75" i="9" s="1"/>
  <c r="C76" i="9"/>
  <c r="F76" i="9" s="1"/>
  <c r="G76" i="9" s="1"/>
  <c r="C77" i="9"/>
  <c r="F77" i="9" s="1"/>
  <c r="G77" i="9" s="1"/>
  <c r="C78" i="9"/>
  <c r="F78" i="9" s="1"/>
  <c r="G78" i="9" s="1"/>
  <c r="C79" i="9"/>
  <c r="F79" i="9" s="1"/>
  <c r="G79" i="9" s="1"/>
  <c r="C80" i="9"/>
  <c r="F80" i="9" s="1"/>
  <c r="G80" i="9" s="1"/>
  <c r="C81" i="9"/>
  <c r="F81" i="9" s="1"/>
  <c r="G81" i="9" s="1"/>
  <c r="C82" i="9"/>
  <c r="F82" i="9" s="1"/>
  <c r="G82" i="9" s="1"/>
  <c r="C83" i="9"/>
  <c r="F83" i="9" s="1"/>
  <c r="G83" i="9" s="1"/>
  <c r="C84" i="9"/>
  <c r="F84" i="9" s="1"/>
  <c r="G84" i="9" s="1"/>
  <c r="C85" i="9"/>
  <c r="F85" i="9" s="1"/>
  <c r="G85" i="9" s="1"/>
  <c r="C86" i="9"/>
  <c r="F86" i="9" s="1"/>
  <c r="G86" i="9" s="1"/>
  <c r="C87" i="9"/>
  <c r="F87" i="9" s="1"/>
  <c r="G87" i="9" s="1"/>
  <c r="C88" i="9"/>
  <c r="F88" i="9" s="1"/>
  <c r="G88" i="9" s="1"/>
  <c r="C89" i="9"/>
  <c r="F89" i="9" s="1"/>
  <c r="G89" i="9" s="1"/>
  <c r="C90" i="9"/>
  <c r="F90" i="9" s="1"/>
  <c r="G90" i="9" s="1"/>
  <c r="C91" i="9"/>
  <c r="F91" i="9" s="1"/>
  <c r="G91" i="9" s="1"/>
  <c r="C92" i="9"/>
  <c r="F92" i="9" s="1"/>
  <c r="G92" i="9" s="1"/>
  <c r="C93" i="9"/>
  <c r="F93" i="9" s="1"/>
  <c r="G93" i="9" s="1"/>
  <c r="C94" i="9"/>
  <c r="F94" i="9" s="1"/>
  <c r="G94" i="9" s="1"/>
  <c r="C95" i="9"/>
  <c r="F95" i="9" s="1"/>
  <c r="G95" i="9" s="1"/>
  <c r="C96" i="9"/>
  <c r="F96" i="9" s="1"/>
  <c r="G96" i="9" s="1"/>
  <c r="C97" i="9"/>
  <c r="F97" i="9" s="1"/>
  <c r="G97" i="9" s="1"/>
  <c r="C98" i="9"/>
  <c r="F98" i="9" s="1"/>
  <c r="G98" i="9" s="1"/>
  <c r="C99" i="9"/>
  <c r="F99" i="9" s="1"/>
  <c r="G99" i="9" s="1"/>
  <c r="C100" i="9"/>
  <c r="F100" i="9" s="1"/>
  <c r="G100" i="9" s="1"/>
  <c r="C101" i="9"/>
  <c r="F101" i="9" s="1"/>
  <c r="G101" i="9" s="1"/>
  <c r="C102" i="9"/>
  <c r="F102" i="9" s="1"/>
  <c r="G102" i="9" s="1"/>
  <c r="C103" i="9"/>
  <c r="F103" i="9" s="1"/>
  <c r="G103" i="9" s="1"/>
  <c r="C104" i="9"/>
  <c r="F104" i="9" s="1"/>
  <c r="G104" i="9" s="1"/>
  <c r="C105" i="9"/>
  <c r="F105" i="9" s="1"/>
  <c r="G105" i="9" s="1"/>
  <c r="C106" i="9"/>
  <c r="F106" i="9" s="1"/>
  <c r="G106" i="9" s="1"/>
  <c r="C107" i="9"/>
  <c r="F107" i="9" s="1"/>
  <c r="G107" i="9" s="1"/>
  <c r="C108" i="9"/>
  <c r="F108" i="9" s="1"/>
  <c r="G108" i="9" s="1"/>
  <c r="C109" i="9"/>
  <c r="F109" i="9" s="1"/>
  <c r="G109" i="9" s="1"/>
  <c r="C110" i="9"/>
  <c r="F110" i="9" s="1"/>
  <c r="G110" i="9" s="1"/>
  <c r="C111" i="9"/>
  <c r="F111" i="9" s="1"/>
  <c r="G111" i="9" s="1"/>
  <c r="C112" i="9"/>
  <c r="F112" i="9" s="1"/>
  <c r="G112" i="9" s="1"/>
  <c r="C113" i="9"/>
  <c r="F113" i="9" s="1"/>
  <c r="G113" i="9" s="1"/>
  <c r="C114" i="9"/>
  <c r="F114" i="9" s="1"/>
  <c r="G114" i="9" s="1"/>
  <c r="C115" i="9"/>
  <c r="F115" i="9" s="1"/>
  <c r="G115" i="9" s="1"/>
  <c r="C116" i="9"/>
  <c r="F116" i="9" s="1"/>
  <c r="G116" i="9" s="1"/>
  <c r="C117" i="9"/>
  <c r="F117" i="9" s="1"/>
  <c r="G117" i="9" s="1"/>
  <c r="C118" i="9"/>
  <c r="F118" i="9" s="1"/>
  <c r="G118" i="9" s="1"/>
  <c r="C119" i="9"/>
  <c r="F119" i="9" s="1"/>
  <c r="G119" i="9" s="1"/>
  <c r="C120" i="9"/>
  <c r="F120" i="9" s="1"/>
  <c r="G120" i="9" s="1"/>
  <c r="C121" i="9"/>
  <c r="F121" i="9" s="1"/>
  <c r="G121" i="9" s="1"/>
  <c r="C122" i="9"/>
  <c r="F122" i="9" s="1"/>
  <c r="G122" i="9" s="1"/>
  <c r="C123" i="9"/>
  <c r="F123" i="9" s="1"/>
  <c r="G123" i="9" s="1"/>
  <c r="C124" i="9"/>
  <c r="F124" i="9" s="1"/>
  <c r="G124" i="9" s="1"/>
  <c r="C125" i="9"/>
  <c r="F125" i="9" s="1"/>
  <c r="G125" i="9" s="1"/>
  <c r="C126" i="9"/>
  <c r="F126" i="9" s="1"/>
  <c r="G126" i="9" s="1"/>
  <c r="C127" i="9"/>
  <c r="F127" i="9" s="1"/>
  <c r="G127" i="9" s="1"/>
  <c r="C128" i="9"/>
  <c r="F128" i="9" s="1"/>
  <c r="G128" i="9" s="1"/>
  <c r="C129" i="9"/>
  <c r="F129" i="9" s="1"/>
  <c r="G129" i="9" s="1"/>
  <c r="C130" i="9"/>
  <c r="F130" i="9" s="1"/>
  <c r="G130" i="9" s="1"/>
  <c r="C131" i="9"/>
  <c r="F131" i="9" s="1"/>
  <c r="G131" i="9" s="1"/>
  <c r="C132" i="9"/>
  <c r="F132" i="9" s="1"/>
  <c r="G132" i="9" s="1"/>
  <c r="C133" i="9"/>
  <c r="F133" i="9" s="1"/>
  <c r="G133" i="9" s="1"/>
  <c r="C134" i="9"/>
  <c r="F134" i="9" s="1"/>
  <c r="G134" i="9" s="1"/>
  <c r="C135" i="9"/>
  <c r="F135" i="9" s="1"/>
  <c r="G135" i="9" s="1"/>
  <c r="C136" i="9"/>
  <c r="F136" i="9" s="1"/>
  <c r="G136" i="9" s="1"/>
  <c r="C137" i="9"/>
  <c r="F137" i="9" s="1"/>
  <c r="G137" i="9" s="1"/>
  <c r="C138" i="9"/>
  <c r="F138" i="9" s="1"/>
  <c r="G138" i="9" s="1"/>
  <c r="C139" i="9"/>
  <c r="F139" i="9" s="1"/>
  <c r="G139" i="9" s="1"/>
  <c r="C140" i="9"/>
  <c r="F140" i="9" s="1"/>
  <c r="G140" i="9" s="1"/>
  <c r="C141" i="9"/>
  <c r="F141" i="9" s="1"/>
  <c r="G141" i="9" s="1"/>
  <c r="C142" i="9"/>
  <c r="F142" i="9" s="1"/>
  <c r="G142" i="9" s="1"/>
  <c r="C143" i="9"/>
  <c r="F143" i="9" s="1"/>
  <c r="G143" i="9" s="1"/>
  <c r="C144" i="9"/>
  <c r="F144" i="9" s="1"/>
  <c r="G144" i="9" s="1"/>
  <c r="C145" i="9"/>
  <c r="F145" i="9" s="1"/>
  <c r="G145" i="9" s="1"/>
  <c r="C146" i="9"/>
  <c r="F146" i="9" s="1"/>
  <c r="G146" i="9" s="1"/>
  <c r="C147" i="9"/>
  <c r="F147" i="9" s="1"/>
  <c r="G147" i="9" s="1"/>
  <c r="C148" i="9"/>
  <c r="F148" i="9" s="1"/>
  <c r="G148" i="9" s="1"/>
  <c r="C149" i="9"/>
  <c r="F149" i="9" s="1"/>
  <c r="G149" i="9" s="1"/>
  <c r="C150" i="9"/>
  <c r="F150" i="9" s="1"/>
  <c r="G150" i="9" s="1"/>
  <c r="C151" i="9"/>
  <c r="F151" i="9" s="1"/>
  <c r="G151" i="9" s="1"/>
  <c r="C152" i="9"/>
  <c r="F152" i="9" s="1"/>
  <c r="G152" i="9" s="1"/>
  <c r="C153" i="9"/>
  <c r="F153" i="9" s="1"/>
  <c r="G153" i="9" s="1"/>
  <c r="C154" i="9"/>
  <c r="F154" i="9" s="1"/>
  <c r="G154" i="9" s="1"/>
  <c r="C155" i="9"/>
  <c r="F155" i="9" s="1"/>
  <c r="G155" i="9" s="1"/>
  <c r="C156" i="9"/>
  <c r="F156" i="9" s="1"/>
  <c r="G156" i="9" s="1"/>
  <c r="C157" i="9"/>
  <c r="F157" i="9" s="1"/>
  <c r="G157" i="9" s="1"/>
  <c r="C158" i="9"/>
  <c r="F158" i="9" s="1"/>
  <c r="G158" i="9" s="1"/>
  <c r="C159" i="9"/>
  <c r="F159" i="9" s="1"/>
  <c r="G159" i="9" s="1"/>
  <c r="C160" i="9"/>
  <c r="F160" i="9" s="1"/>
  <c r="G160" i="9" s="1"/>
  <c r="C161" i="9"/>
  <c r="F161" i="9" s="1"/>
  <c r="G161" i="9" s="1"/>
  <c r="C162" i="9"/>
  <c r="F162" i="9" s="1"/>
  <c r="G162" i="9" s="1"/>
  <c r="C163" i="9"/>
  <c r="F163" i="9" s="1"/>
  <c r="G163" i="9" s="1"/>
  <c r="C164" i="9"/>
  <c r="F164" i="9" s="1"/>
  <c r="G164" i="9" s="1"/>
  <c r="C165" i="9"/>
  <c r="F165" i="9" s="1"/>
  <c r="G165" i="9" s="1"/>
  <c r="C166" i="9"/>
  <c r="F166" i="9" s="1"/>
  <c r="G166" i="9" s="1"/>
  <c r="C167" i="9"/>
  <c r="F167" i="9" s="1"/>
  <c r="G167" i="9" s="1"/>
  <c r="C168" i="9"/>
  <c r="F168" i="9" s="1"/>
  <c r="G168" i="9" s="1"/>
  <c r="C169" i="9"/>
  <c r="F169" i="9" s="1"/>
  <c r="G169" i="9" s="1"/>
  <c r="C170" i="9"/>
  <c r="F170" i="9" s="1"/>
  <c r="G170" i="9" s="1"/>
  <c r="C171" i="9"/>
  <c r="F171" i="9" s="1"/>
  <c r="G171" i="9" s="1"/>
  <c r="C172" i="9"/>
  <c r="F172" i="9" s="1"/>
  <c r="G172" i="9" s="1"/>
  <c r="C173" i="9"/>
  <c r="F173" i="9" s="1"/>
  <c r="G173" i="9" s="1"/>
  <c r="C174" i="9"/>
  <c r="F174" i="9" s="1"/>
  <c r="G174" i="9" s="1"/>
  <c r="C175" i="9"/>
  <c r="F175" i="9" s="1"/>
  <c r="G175" i="9" s="1"/>
  <c r="C176" i="9"/>
  <c r="F176" i="9" s="1"/>
  <c r="G176" i="9" s="1"/>
  <c r="C177" i="9"/>
  <c r="F177" i="9" s="1"/>
  <c r="G177" i="9" s="1"/>
  <c r="C178" i="9"/>
  <c r="F178" i="9" s="1"/>
  <c r="G178" i="9" s="1"/>
  <c r="C179" i="9"/>
  <c r="F179" i="9" s="1"/>
  <c r="G179" i="9" s="1"/>
  <c r="C180" i="9"/>
  <c r="F180" i="9" s="1"/>
  <c r="G180" i="9" s="1"/>
  <c r="C181" i="9"/>
  <c r="F181" i="9" s="1"/>
  <c r="G181" i="9" s="1"/>
  <c r="C182" i="9"/>
  <c r="F182" i="9" s="1"/>
  <c r="G182" i="9" s="1"/>
  <c r="C183" i="9"/>
  <c r="F183" i="9" s="1"/>
  <c r="G183" i="9" s="1"/>
  <c r="C184" i="9"/>
  <c r="F184" i="9" s="1"/>
  <c r="G184" i="9" s="1"/>
  <c r="C185" i="9"/>
  <c r="F185" i="9" s="1"/>
  <c r="G185" i="9" s="1"/>
  <c r="C186" i="9"/>
  <c r="F186" i="9" s="1"/>
  <c r="G186" i="9" s="1"/>
  <c r="C187" i="9"/>
  <c r="F187" i="9" s="1"/>
  <c r="G187" i="9" s="1"/>
  <c r="C188" i="9"/>
  <c r="F188" i="9" s="1"/>
  <c r="G188" i="9" s="1"/>
  <c r="C189" i="9"/>
  <c r="F189" i="9" s="1"/>
  <c r="G189" i="9" s="1"/>
  <c r="C190" i="9"/>
  <c r="F190" i="9" s="1"/>
  <c r="G190" i="9" s="1"/>
  <c r="C191" i="9"/>
  <c r="F191" i="9" s="1"/>
  <c r="G191" i="9" s="1"/>
  <c r="C192" i="9"/>
  <c r="F192" i="9" s="1"/>
  <c r="G192" i="9" s="1"/>
  <c r="C193" i="9"/>
  <c r="F193" i="9" s="1"/>
  <c r="G193" i="9" s="1"/>
  <c r="C194" i="9"/>
  <c r="F194" i="9" s="1"/>
  <c r="G194" i="9" s="1"/>
  <c r="C195" i="9"/>
  <c r="F195" i="9" s="1"/>
  <c r="G195" i="9" s="1"/>
  <c r="C196" i="9"/>
  <c r="F196" i="9" s="1"/>
  <c r="G196" i="9" s="1"/>
  <c r="C197" i="9"/>
  <c r="F197" i="9" s="1"/>
  <c r="G197" i="9" s="1"/>
  <c r="C198" i="9"/>
  <c r="F198" i="9" s="1"/>
  <c r="G198" i="9" s="1"/>
  <c r="C199" i="9"/>
  <c r="F199" i="9" s="1"/>
  <c r="G199" i="9" s="1"/>
  <c r="C200" i="9"/>
  <c r="F200" i="9" s="1"/>
  <c r="G200" i="9" s="1"/>
  <c r="C201" i="9"/>
  <c r="F201" i="9" s="1"/>
  <c r="G201" i="9" s="1"/>
  <c r="C202" i="9"/>
  <c r="F202" i="9" s="1"/>
  <c r="G202" i="9" s="1"/>
  <c r="C203" i="9"/>
  <c r="F203" i="9" s="1"/>
  <c r="G203" i="9" s="1"/>
  <c r="C204" i="9"/>
  <c r="F204" i="9" s="1"/>
  <c r="G204" i="9" s="1"/>
  <c r="C205" i="9"/>
  <c r="F205" i="9" s="1"/>
  <c r="G205" i="9" s="1"/>
  <c r="C206" i="9"/>
  <c r="F206" i="9" s="1"/>
  <c r="G206" i="9" s="1"/>
  <c r="C207" i="9"/>
  <c r="F207" i="9" s="1"/>
  <c r="G207" i="9" s="1"/>
  <c r="C208" i="9"/>
  <c r="F208" i="9" s="1"/>
  <c r="G208" i="9" s="1"/>
  <c r="C209" i="9"/>
  <c r="F209" i="9" s="1"/>
  <c r="G209" i="9" s="1"/>
  <c r="C210" i="9"/>
  <c r="F210" i="9" s="1"/>
  <c r="G210" i="9" s="1"/>
  <c r="C211" i="9"/>
  <c r="F211" i="9" s="1"/>
  <c r="G211" i="9" s="1"/>
  <c r="C212" i="9"/>
  <c r="F212" i="9" s="1"/>
  <c r="G212" i="9" s="1"/>
  <c r="C213" i="9"/>
  <c r="F213" i="9" s="1"/>
  <c r="G213" i="9" s="1"/>
  <c r="C214" i="9"/>
  <c r="F214" i="9" s="1"/>
  <c r="G214" i="9" s="1"/>
  <c r="C215" i="9"/>
  <c r="F215" i="9" s="1"/>
  <c r="G215" i="9" s="1"/>
  <c r="C216" i="9"/>
  <c r="F216" i="9" s="1"/>
  <c r="G216" i="9" s="1"/>
  <c r="C217" i="9"/>
  <c r="F217" i="9" s="1"/>
  <c r="G217" i="9" s="1"/>
  <c r="C218" i="9"/>
  <c r="F218" i="9" s="1"/>
  <c r="G218" i="9" s="1"/>
  <c r="C219" i="9"/>
  <c r="F219" i="9" s="1"/>
  <c r="G219" i="9" s="1"/>
  <c r="C220" i="9"/>
  <c r="F220" i="9" s="1"/>
  <c r="G220" i="9" s="1"/>
  <c r="C221" i="9"/>
  <c r="F221" i="9" s="1"/>
  <c r="G221" i="9" s="1"/>
  <c r="C222" i="9"/>
  <c r="F222" i="9" s="1"/>
  <c r="G222" i="9" s="1"/>
  <c r="C223" i="9"/>
  <c r="F223" i="9" s="1"/>
  <c r="G223" i="9" s="1"/>
  <c r="C224" i="9"/>
  <c r="F224" i="9" s="1"/>
  <c r="G224" i="9" s="1"/>
  <c r="C225" i="9"/>
  <c r="F225" i="9" s="1"/>
  <c r="G225" i="9" s="1"/>
  <c r="C226" i="9"/>
  <c r="F226" i="9" s="1"/>
  <c r="G226" i="9" s="1"/>
  <c r="C227" i="9"/>
  <c r="F227" i="9" s="1"/>
  <c r="G227" i="9" s="1"/>
  <c r="C228" i="9"/>
  <c r="F228" i="9" s="1"/>
  <c r="G228" i="9" s="1"/>
  <c r="C229" i="9"/>
  <c r="F229" i="9" s="1"/>
  <c r="G229" i="9" s="1"/>
  <c r="C230" i="9"/>
  <c r="F230" i="9" s="1"/>
  <c r="G230" i="9" s="1"/>
  <c r="C231" i="9"/>
  <c r="F231" i="9" s="1"/>
  <c r="G231" i="9" s="1"/>
  <c r="C232" i="9"/>
  <c r="F232" i="9" s="1"/>
  <c r="G232" i="9" s="1"/>
  <c r="C233" i="9"/>
  <c r="F233" i="9" s="1"/>
  <c r="G233" i="9" s="1"/>
  <c r="C234" i="9"/>
  <c r="F234" i="9" s="1"/>
  <c r="G234" i="9" s="1"/>
  <c r="C235" i="9"/>
  <c r="F235" i="9" s="1"/>
  <c r="G235" i="9" s="1"/>
  <c r="C236" i="9"/>
  <c r="F236" i="9" s="1"/>
  <c r="G236" i="9" s="1"/>
  <c r="C237" i="9"/>
  <c r="F237" i="9" s="1"/>
  <c r="G237" i="9" s="1"/>
  <c r="C238" i="9"/>
  <c r="F238" i="9" s="1"/>
  <c r="G238" i="9" s="1"/>
  <c r="C239" i="9"/>
  <c r="F239" i="9" s="1"/>
  <c r="G239" i="9" s="1"/>
  <c r="C240" i="9"/>
  <c r="F240" i="9" s="1"/>
  <c r="G240" i="9" s="1"/>
  <c r="C241" i="9"/>
  <c r="F241" i="9" s="1"/>
  <c r="G241" i="9" s="1"/>
  <c r="C242" i="9"/>
  <c r="F242" i="9" s="1"/>
  <c r="G242" i="9" s="1"/>
  <c r="C243" i="9"/>
  <c r="F243" i="9" s="1"/>
  <c r="G243" i="9" s="1"/>
  <c r="C244" i="9"/>
  <c r="F244" i="9" s="1"/>
  <c r="G244" i="9" s="1"/>
  <c r="C245" i="9"/>
  <c r="F245" i="9" s="1"/>
  <c r="G245" i="9" s="1"/>
  <c r="C246" i="9"/>
  <c r="F246" i="9" s="1"/>
  <c r="G246" i="9" s="1"/>
  <c r="C247" i="9"/>
  <c r="F247" i="9" s="1"/>
  <c r="G247" i="9" s="1"/>
  <c r="C248" i="9"/>
  <c r="F248" i="9" s="1"/>
  <c r="G248" i="9" s="1"/>
  <c r="C249" i="9"/>
  <c r="F249" i="9" s="1"/>
  <c r="G249" i="9" s="1"/>
  <c r="C250" i="9"/>
  <c r="F250" i="9" s="1"/>
  <c r="G250" i="9" s="1"/>
  <c r="C251" i="9"/>
  <c r="F251" i="9" s="1"/>
  <c r="G251" i="9" s="1"/>
  <c r="C252" i="9"/>
  <c r="F252" i="9" s="1"/>
  <c r="G252" i="9" s="1"/>
  <c r="C253" i="9"/>
  <c r="F253" i="9" s="1"/>
  <c r="G253" i="9" s="1"/>
  <c r="C254" i="9"/>
  <c r="F254" i="9" s="1"/>
  <c r="G254" i="9" s="1"/>
  <c r="C255" i="9"/>
  <c r="F255" i="9" s="1"/>
  <c r="G255" i="9" s="1"/>
  <c r="C256" i="9"/>
  <c r="F256" i="9" s="1"/>
  <c r="G256" i="9" s="1"/>
  <c r="C257" i="9"/>
  <c r="F257" i="9" s="1"/>
  <c r="G257" i="9" s="1"/>
  <c r="C258" i="9"/>
  <c r="F258" i="9" s="1"/>
  <c r="G258" i="9" s="1"/>
  <c r="C259" i="9"/>
  <c r="F259" i="9" s="1"/>
  <c r="G259" i="9" s="1"/>
  <c r="C260" i="9"/>
  <c r="F260" i="9" s="1"/>
  <c r="G260" i="9" s="1"/>
  <c r="C261" i="9"/>
  <c r="F261" i="9" s="1"/>
  <c r="G261" i="9" s="1"/>
  <c r="C262" i="9"/>
  <c r="F262" i="9" s="1"/>
  <c r="G262" i="9" s="1"/>
  <c r="C263" i="9"/>
  <c r="F263" i="9" s="1"/>
  <c r="G263" i="9" s="1"/>
  <c r="C264" i="9"/>
  <c r="F264" i="9" s="1"/>
  <c r="G264" i="9" s="1"/>
  <c r="C265" i="9"/>
  <c r="F265" i="9" s="1"/>
  <c r="G265" i="9" s="1"/>
  <c r="C266" i="9"/>
  <c r="F266" i="9" s="1"/>
  <c r="G266" i="9" s="1"/>
  <c r="C267" i="9"/>
  <c r="F267" i="9" s="1"/>
  <c r="G267" i="9" s="1"/>
  <c r="C268" i="9"/>
  <c r="F268" i="9" s="1"/>
  <c r="G268" i="9" s="1"/>
  <c r="C269" i="9"/>
  <c r="F269" i="9" s="1"/>
  <c r="G269" i="9" s="1"/>
  <c r="C270" i="9"/>
  <c r="F270" i="9" s="1"/>
  <c r="G270" i="9" s="1"/>
  <c r="C271" i="9"/>
  <c r="F271" i="9" s="1"/>
  <c r="G271" i="9" s="1"/>
  <c r="C272" i="9"/>
  <c r="F272" i="9" s="1"/>
  <c r="G272" i="9" s="1"/>
  <c r="C273" i="9"/>
  <c r="F273" i="9" s="1"/>
  <c r="G273" i="9" s="1"/>
  <c r="C274" i="9"/>
  <c r="F274" i="9" s="1"/>
  <c r="G274" i="9" s="1"/>
  <c r="C275" i="9"/>
  <c r="F275" i="9" s="1"/>
  <c r="G275" i="9" s="1"/>
  <c r="C276" i="9"/>
  <c r="F276" i="9" s="1"/>
  <c r="G276" i="9" s="1"/>
  <c r="C277" i="9"/>
  <c r="F277" i="9" s="1"/>
  <c r="G277" i="9" s="1"/>
  <c r="C278" i="9"/>
  <c r="F278" i="9" s="1"/>
  <c r="G278" i="9" s="1"/>
  <c r="C279" i="9"/>
  <c r="F279" i="9" s="1"/>
  <c r="G279" i="9" s="1"/>
  <c r="C280" i="9"/>
  <c r="F280" i="9" s="1"/>
  <c r="G280" i="9" s="1"/>
  <c r="C281" i="9"/>
  <c r="F281" i="9" s="1"/>
  <c r="G281" i="9" s="1"/>
  <c r="C282" i="9"/>
  <c r="F282" i="9" s="1"/>
  <c r="G282" i="9" s="1"/>
  <c r="C283" i="9"/>
  <c r="F283" i="9" s="1"/>
  <c r="G283" i="9" s="1"/>
  <c r="C284" i="9"/>
  <c r="F284" i="9" s="1"/>
  <c r="G284" i="9" s="1"/>
  <c r="C285" i="9"/>
  <c r="F285" i="9" s="1"/>
  <c r="G285" i="9" s="1"/>
  <c r="C286" i="9"/>
  <c r="F286" i="9" s="1"/>
  <c r="G286" i="9" s="1"/>
  <c r="C287" i="9"/>
  <c r="F287" i="9" s="1"/>
  <c r="G287" i="9" s="1"/>
  <c r="C288" i="9"/>
  <c r="F288" i="9" s="1"/>
  <c r="G288" i="9" s="1"/>
  <c r="C289" i="9"/>
  <c r="F289" i="9" s="1"/>
  <c r="G289" i="9" s="1"/>
  <c r="C290" i="9"/>
  <c r="F290" i="9" s="1"/>
  <c r="G290" i="9" s="1"/>
  <c r="C291" i="9"/>
  <c r="F291" i="9" s="1"/>
  <c r="G291" i="9" s="1"/>
  <c r="C292" i="9"/>
  <c r="F292" i="9" s="1"/>
  <c r="G292" i="9" s="1"/>
  <c r="C293" i="9"/>
  <c r="F293" i="9" s="1"/>
  <c r="G293" i="9" s="1"/>
  <c r="C294" i="9"/>
  <c r="F294" i="9" s="1"/>
  <c r="G294" i="9" s="1"/>
  <c r="C295" i="9"/>
  <c r="F295" i="9" s="1"/>
  <c r="G295" i="9" s="1"/>
  <c r="C296" i="9"/>
  <c r="F296" i="9" s="1"/>
  <c r="G296" i="9" s="1"/>
  <c r="C297" i="9"/>
  <c r="F297" i="9" s="1"/>
  <c r="G297" i="9" s="1"/>
  <c r="C298" i="9"/>
  <c r="F298" i="9" s="1"/>
  <c r="G298" i="9" s="1"/>
  <c r="C299" i="9"/>
  <c r="F299" i="9" s="1"/>
  <c r="G299" i="9" s="1"/>
  <c r="C300" i="9"/>
  <c r="F300" i="9" s="1"/>
  <c r="G300" i="9" s="1"/>
  <c r="C301" i="9"/>
  <c r="F301" i="9" s="1"/>
  <c r="G301" i="9" s="1"/>
  <c r="C302" i="9"/>
  <c r="F302" i="9" s="1"/>
  <c r="G302" i="9" s="1"/>
  <c r="C303" i="9"/>
  <c r="F303" i="9" s="1"/>
  <c r="G303" i="9" s="1"/>
  <c r="C304" i="9"/>
  <c r="F304" i="9" s="1"/>
  <c r="G304" i="9" s="1"/>
  <c r="C305" i="9"/>
  <c r="F305" i="9" s="1"/>
  <c r="G305" i="9" s="1"/>
  <c r="C306" i="9"/>
  <c r="F306" i="9" s="1"/>
  <c r="G306" i="9" s="1"/>
  <c r="C307" i="9"/>
  <c r="F307" i="9" s="1"/>
  <c r="G307" i="9" s="1"/>
  <c r="C308" i="9"/>
  <c r="F308" i="9" s="1"/>
  <c r="G308" i="9" s="1"/>
  <c r="C309" i="9"/>
  <c r="F309" i="9" s="1"/>
  <c r="G309" i="9" s="1"/>
  <c r="C310" i="9"/>
  <c r="F310" i="9" s="1"/>
  <c r="G310" i="9" s="1"/>
  <c r="C311" i="9"/>
  <c r="F311" i="9" s="1"/>
  <c r="G311" i="9" s="1"/>
  <c r="C312" i="9"/>
  <c r="F312" i="9" s="1"/>
  <c r="G312" i="9" s="1"/>
  <c r="C313" i="9"/>
  <c r="F313" i="9" s="1"/>
  <c r="G313" i="9" s="1"/>
  <c r="C314" i="9"/>
  <c r="F314" i="9" s="1"/>
  <c r="G314" i="9" s="1"/>
  <c r="C315" i="9"/>
  <c r="F315" i="9" s="1"/>
  <c r="G315" i="9" s="1"/>
  <c r="C316" i="9"/>
  <c r="F316" i="9" s="1"/>
  <c r="G316" i="9" s="1"/>
  <c r="C317" i="9"/>
  <c r="F317" i="9" s="1"/>
  <c r="G317" i="9" s="1"/>
  <c r="C318" i="9"/>
  <c r="F318" i="9" s="1"/>
  <c r="G318" i="9" s="1"/>
  <c r="C319" i="9"/>
  <c r="F319" i="9" s="1"/>
  <c r="G319" i="9" s="1"/>
  <c r="C320" i="9"/>
  <c r="F320" i="9" s="1"/>
  <c r="G320" i="9" s="1"/>
  <c r="C321" i="9"/>
  <c r="F321" i="9" s="1"/>
  <c r="G321" i="9" s="1"/>
  <c r="C322" i="9"/>
  <c r="F322" i="9" s="1"/>
  <c r="G322" i="9" s="1"/>
  <c r="C323" i="9"/>
  <c r="F323" i="9" s="1"/>
  <c r="G323" i="9" s="1"/>
  <c r="C324" i="9"/>
  <c r="F324" i="9" s="1"/>
  <c r="G324" i="9" s="1"/>
  <c r="C325" i="9"/>
  <c r="F325" i="9" s="1"/>
  <c r="G325" i="9" s="1"/>
  <c r="C326" i="9"/>
  <c r="F326" i="9" s="1"/>
  <c r="G326" i="9" s="1"/>
  <c r="C327" i="9"/>
  <c r="F327" i="9" s="1"/>
  <c r="G327" i="9" s="1"/>
  <c r="C328" i="9"/>
  <c r="F328" i="9" s="1"/>
  <c r="G328" i="9" s="1"/>
  <c r="C329" i="9"/>
  <c r="F329" i="9" s="1"/>
  <c r="G329" i="9" s="1"/>
  <c r="C330" i="9"/>
  <c r="F330" i="9" s="1"/>
  <c r="G330" i="9" s="1"/>
  <c r="C331" i="9"/>
  <c r="F331" i="9" s="1"/>
  <c r="G331" i="9" s="1"/>
  <c r="C332" i="9"/>
  <c r="F332" i="9" s="1"/>
  <c r="G332" i="9" s="1"/>
  <c r="C333" i="9"/>
  <c r="F333" i="9" s="1"/>
  <c r="G333" i="9" s="1"/>
  <c r="C334" i="9"/>
  <c r="F334" i="9" s="1"/>
  <c r="G334" i="9" s="1"/>
  <c r="C335" i="9"/>
  <c r="F335" i="9" s="1"/>
  <c r="G335" i="9" s="1"/>
  <c r="C336" i="9"/>
  <c r="F336" i="9" s="1"/>
  <c r="G336" i="9" s="1"/>
  <c r="C337" i="9"/>
  <c r="F337" i="9" s="1"/>
  <c r="G337" i="9" s="1"/>
  <c r="C338" i="9"/>
  <c r="F338" i="9" s="1"/>
  <c r="G338" i="9" s="1"/>
  <c r="C339" i="9"/>
  <c r="F339" i="9" s="1"/>
  <c r="G339" i="9" s="1"/>
  <c r="C340" i="9"/>
  <c r="F340" i="9" s="1"/>
  <c r="G340" i="9" s="1"/>
  <c r="C341" i="9"/>
  <c r="F341" i="9" s="1"/>
  <c r="G341" i="9" s="1"/>
  <c r="C342" i="9"/>
  <c r="F342" i="9" s="1"/>
  <c r="G342" i="9" s="1"/>
  <c r="C343" i="9"/>
  <c r="F343" i="9" s="1"/>
  <c r="G343" i="9" s="1"/>
  <c r="C344" i="9"/>
  <c r="F344" i="9" s="1"/>
  <c r="G344" i="9" s="1"/>
  <c r="C345" i="9"/>
  <c r="F345" i="9" s="1"/>
  <c r="G345" i="9" s="1"/>
  <c r="C346" i="9"/>
  <c r="F346" i="9" s="1"/>
  <c r="G346" i="9" s="1"/>
  <c r="C347" i="9"/>
  <c r="F347" i="9" s="1"/>
  <c r="G347" i="9" s="1"/>
  <c r="C348" i="9"/>
  <c r="F348" i="9" s="1"/>
  <c r="G348" i="9" s="1"/>
  <c r="C349" i="9"/>
  <c r="F349" i="9" s="1"/>
  <c r="G349" i="9" s="1"/>
  <c r="C350" i="9"/>
  <c r="F350" i="9" s="1"/>
  <c r="G350" i="9" s="1"/>
  <c r="C351" i="9"/>
  <c r="F351" i="9" s="1"/>
  <c r="G351" i="9" s="1"/>
  <c r="C352" i="9"/>
  <c r="F352" i="9" s="1"/>
  <c r="G352" i="9" s="1"/>
  <c r="C353" i="9"/>
  <c r="F353" i="9" s="1"/>
  <c r="G353" i="9" s="1"/>
  <c r="C354" i="9"/>
  <c r="F354" i="9" s="1"/>
  <c r="G354" i="9" s="1"/>
  <c r="C355" i="9"/>
  <c r="F355" i="9" s="1"/>
  <c r="G355" i="9" s="1"/>
  <c r="C356" i="9"/>
  <c r="F356" i="9" s="1"/>
  <c r="G356" i="9" s="1"/>
  <c r="C357" i="9"/>
  <c r="F357" i="9" s="1"/>
  <c r="G357" i="9" s="1"/>
  <c r="C358" i="9"/>
  <c r="F358" i="9" s="1"/>
  <c r="G358" i="9" s="1"/>
  <c r="C359" i="9"/>
  <c r="F359" i="9" s="1"/>
  <c r="G359" i="9" s="1"/>
  <c r="C360" i="9"/>
  <c r="F360" i="9" s="1"/>
  <c r="G360" i="9" s="1"/>
  <c r="C361" i="9"/>
  <c r="F361" i="9" s="1"/>
  <c r="G361" i="9" s="1"/>
  <c r="C362" i="9"/>
  <c r="F362" i="9" s="1"/>
  <c r="G362" i="9" s="1"/>
  <c r="C363" i="9"/>
  <c r="F363" i="9" s="1"/>
  <c r="G363" i="9" s="1"/>
  <c r="C364" i="9"/>
  <c r="F364" i="9" s="1"/>
  <c r="G364" i="9" s="1"/>
  <c r="C365" i="9"/>
  <c r="F365" i="9" s="1"/>
  <c r="G365" i="9" s="1"/>
  <c r="C366" i="9"/>
  <c r="F366" i="9" s="1"/>
  <c r="G366" i="9" s="1"/>
  <c r="C367" i="9"/>
  <c r="F367" i="9" s="1"/>
  <c r="G367" i="9" s="1"/>
  <c r="C368" i="9"/>
  <c r="F368" i="9" s="1"/>
  <c r="G368" i="9" s="1"/>
  <c r="C369" i="9"/>
  <c r="F369" i="9" s="1"/>
  <c r="G369" i="9" s="1"/>
  <c r="C370" i="9"/>
  <c r="F370" i="9" s="1"/>
  <c r="G370" i="9" s="1"/>
  <c r="C371" i="9"/>
  <c r="F371" i="9" s="1"/>
  <c r="G371" i="9" s="1"/>
  <c r="C372" i="9"/>
  <c r="F372" i="9" s="1"/>
  <c r="G372" i="9" s="1"/>
  <c r="C373" i="9"/>
  <c r="F373" i="9" s="1"/>
  <c r="G373" i="9" s="1"/>
  <c r="C374" i="9"/>
  <c r="F374" i="9" s="1"/>
  <c r="G374" i="9" s="1"/>
  <c r="C375" i="9"/>
  <c r="F375" i="9" s="1"/>
  <c r="G375" i="9" s="1"/>
  <c r="C376" i="9"/>
  <c r="F376" i="9" s="1"/>
  <c r="G376" i="9" s="1"/>
  <c r="C377" i="9"/>
  <c r="F377" i="9" s="1"/>
  <c r="G377" i="9" s="1"/>
  <c r="C378" i="9"/>
  <c r="F378" i="9" s="1"/>
  <c r="G378" i="9" s="1"/>
  <c r="C379" i="9"/>
  <c r="F379" i="9" s="1"/>
  <c r="G379" i="9" s="1"/>
  <c r="C380" i="9"/>
  <c r="F380" i="9" s="1"/>
  <c r="G380" i="9" s="1"/>
  <c r="C381" i="9"/>
  <c r="F381" i="9" s="1"/>
  <c r="G381" i="9" s="1"/>
  <c r="C382" i="9"/>
  <c r="F382" i="9" s="1"/>
  <c r="G382" i="9" s="1"/>
  <c r="C383" i="9"/>
  <c r="F383" i="9" s="1"/>
  <c r="G383" i="9" s="1"/>
  <c r="C384" i="9"/>
  <c r="F384" i="9" s="1"/>
  <c r="G384" i="9" s="1"/>
  <c r="C385" i="9"/>
  <c r="F385" i="9" s="1"/>
  <c r="G385" i="9" s="1"/>
  <c r="C386" i="9"/>
  <c r="F386" i="9" s="1"/>
  <c r="G386" i="9" s="1"/>
  <c r="C387" i="9"/>
  <c r="F387" i="9" s="1"/>
  <c r="G387" i="9" s="1"/>
  <c r="C388" i="9"/>
  <c r="F388" i="9" s="1"/>
  <c r="G388" i="9" s="1"/>
  <c r="C389" i="9"/>
  <c r="F389" i="9" s="1"/>
  <c r="G389" i="9" s="1"/>
  <c r="C390" i="9"/>
  <c r="F390" i="9" s="1"/>
  <c r="G390" i="9" s="1"/>
  <c r="C391" i="9"/>
  <c r="F391" i="9" s="1"/>
  <c r="G391" i="9" s="1"/>
  <c r="C392" i="9"/>
  <c r="F392" i="9" s="1"/>
  <c r="G392" i="9" s="1"/>
  <c r="C393" i="9"/>
  <c r="F393" i="9" s="1"/>
  <c r="G393" i="9" s="1"/>
  <c r="C394" i="9"/>
  <c r="F394" i="9" s="1"/>
  <c r="G394" i="9" s="1"/>
  <c r="C395" i="9"/>
  <c r="F395" i="9" s="1"/>
  <c r="G395" i="9" s="1"/>
  <c r="C396" i="9"/>
  <c r="F396" i="9" s="1"/>
  <c r="G396" i="9" s="1"/>
  <c r="C397" i="9"/>
  <c r="F397" i="9" s="1"/>
  <c r="G397" i="9" s="1"/>
  <c r="C398" i="9"/>
  <c r="F398" i="9" s="1"/>
  <c r="G398" i="9" s="1"/>
  <c r="C399" i="9"/>
  <c r="F399" i="9" s="1"/>
  <c r="G399" i="9" s="1"/>
  <c r="C400" i="9"/>
  <c r="F400" i="9" s="1"/>
  <c r="G400" i="9" s="1"/>
  <c r="C401" i="9"/>
  <c r="F401" i="9" s="1"/>
  <c r="G401" i="9" s="1"/>
  <c r="C402" i="9"/>
  <c r="F402" i="9" s="1"/>
  <c r="G402" i="9" s="1"/>
  <c r="C403" i="9"/>
  <c r="F403" i="9" s="1"/>
  <c r="G403" i="9" s="1"/>
  <c r="C404" i="9"/>
  <c r="F404" i="9" s="1"/>
  <c r="G404" i="9" s="1"/>
  <c r="C405" i="9"/>
  <c r="F405" i="9" s="1"/>
  <c r="G405" i="9" s="1"/>
  <c r="C406" i="9"/>
  <c r="F406" i="9" s="1"/>
  <c r="G406" i="9" s="1"/>
  <c r="C407" i="9"/>
  <c r="F407" i="9" s="1"/>
  <c r="G407" i="9" s="1"/>
  <c r="C408" i="9"/>
  <c r="F408" i="9" s="1"/>
  <c r="G408" i="9" s="1"/>
  <c r="C409" i="9"/>
  <c r="F409" i="9" s="1"/>
  <c r="G409" i="9" s="1"/>
  <c r="C410" i="9"/>
  <c r="F410" i="9" s="1"/>
  <c r="G410" i="9" s="1"/>
  <c r="C411" i="9"/>
  <c r="F411" i="9" s="1"/>
  <c r="G411" i="9" s="1"/>
  <c r="C412" i="9"/>
  <c r="F412" i="9" s="1"/>
  <c r="G412" i="9" s="1"/>
  <c r="C413" i="9"/>
  <c r="F413" i="9" s="1"/>
  <c r="G413" i="9" s="1"/>
  <c r="C414" i="9"/>
  <c r="F414" i="9" s="1"/>
  <c r="G414" i="9" s="1"/>
  <c r="C415" i="9"/>
  <c r="F415" i="9" s="1"/>
  <c r="G415" i="9" s="1"/>
  <c r="C416" i="9"/>
  <c r="F416" i="9" s="1"/>
  <c r="G416" i="9" s="1"/>
  <c r="C417" i="9"/>
  <c r="F417" i="9" s="1"/>
  <c r="G417" i="9" s="1"/>
  <c r="C418" i="9"/>
  <c r="F418" i="9" s="1"/>
  <c r="G418" i="9" s="1"/>
  <c r="C419" i="9"/>
  <c r="F419" i="9" s="1"/>
  <c r="G419" i="9" s="1"/>
  <c r="C420" i="9"/>
  <c r="F420" i="9" s="1"/>
  <c r="G420" i="9" s="1"/>
  <c r="C421" i="9"/>
  <c r="F421" i="9" s="1"/>
  <c r="G421" i="9" s="1"/>
  <c r="C422" i="9"/>
  <c r="F422" i="9" s="1"/>
  <c r="G422" i="9" s="1"/>
  <c r="C423" i="9"/>
  <c r="F423" i="9" s="1"/>
  <c r="G423" i="9" s="1"/>
  <c r="C424" i="9"/>
  <c r="F424" i="9" s="1"/>
  <c r="G424" i="9" s="1"/>
  <c r="C425" i="9"/>
  <c r="F425" i="9" s="1"/>
  <c r="G425" i="9" s="1"/>
  <c r="C426" i="9"/>
  <c r="F426" i="9" s="1"/>
  <c r="G426" i="9" s="1"/>
  <c r="C427" i="9"/>
  <c r="F427" i="9" s="1"/>
  <c r="G427" i="9" s="1"/>
  <c r="C428" i="9"/>
  <c r="F428" i="9" s="1"/>
  <c r="G428" i="9" s="1"/>
  <c r="C429" i="9"/>
  <c r="F429" i="9" s="1"/>
  <c r="G429" i="9" s="1"/>
  <c r="C430" i="9"/>
  <c r="F430" i="9" s="1"/>
  <c r="G430" i="9" s="1"/>
  <c r="C431" i="9"/>
  <c r="F431" i="9" s="1"/>
  <c r="G431" i="9" s="1"/>
  <c r="C432" i="9"/>
  <c r="F432" i="9" s="1"/>
  <c r="G432" i="9" s="1"/>
  <c r="C433" i="9"/>
  <c r="F433" i="9" s="1"/>
  <c r="G433" i="9" s="1"/>
  <c r="C434" i="9"/>
  <c r="F434" i="9" s="1"/>
  <c r="G434" i="9" s="1"/>
  <c r="C435" i="9"/>
  <c r="F435" i="9" s="1"/>
  <c r="G435" i="9" s="1"/>
  <c r="C436" i="9"/>
  <c r="F436" i="9" s="1"/>
  <c r="G436" i="9" s="1"/>
  <c r="C437" i="9"/>
  <c r="F437" i="9" s="1"/>
  <c r="G437" i="9" s="1"/>
  <c r="C438" i="9"/>
  <c r="F438" i="9" s="1"/>
  <c r="G438" i="9" s="1"/>
  <c r="C439" i="9"/>
  <c r="F439" i="9" s="1"/>
  <c r="G439" i="9" s="1"/>
  <c r="C440" i="9"/>
  <c r="F440" i="9" s="1"/>
  <c r="G440" i="9" s="1"/>
  <c r="C441" i="9"/>
  <c r="F441" i="9" s="1"/>
  <c r="G441" i="9" s="1"/>
  <c r="C442" i="9"/>
  <c r="F442" i="9" s="1"/>
  <c r="G442" i="9" s="1"/>
  <c r="C443" i="9"/>
  <c r="F443" i="9" s="1"/>
  <c r="G443" i="9" s="1"/>
  <c r="C444" i="9"/>
  <c r="F444" i="9" s="1"/>
  <c r="G444" i="9" s="1"/>
  <c r="C445" i="9"/>
  <c r="F445" i="9" s="1"/>
  <c r="G445" i="9" s="1"/>
  <c r="C446" i="9"/>
  <c r="F446" i="9" s="1"/>
  <c r="G446" i="9" s="1"/>
  <c r="C447" i="9"/>
  <c r="F447" i="9" s="1"/>
  <c r="G447" i="9" s="1"/>
  <c r="C448" i="9"/>
  <c r="F448" i="9" s="1"/>
  <c r="G448" i="9" s="1"/>
  <c r="C449" i="9"/>
  <c r="F449" i="9" s="1"/>
  <c r="G449" i="9" s="1"/>
  <c r="C450" i="9"/>
  <c r="F450" i="9" s="1"/>
  <c r="G450" i="9" s="1"/>
  <c r="C451" i="9"/>
  <c r="F451" i="9" s="1"/>
  <c r="G451" i="9" s="1"/>
  <c r="C452" i="9"/>
  <c r="F452" i="9" s="1"/>
  <c r="G452" i="9" s="1"/>
  <c r="C453" i="9"/>
  <c r="F453" i="9" s="1"/>
  <c r="G453" i="9" s="1"/>
  <c r="C454" i="9"/>
  <c r="F454" i="9" s="1"/>
  <c r="G454" i="9" s="1"/>
  <c r="C455" i="9"/>
  <c r="F455" i="9" s="1"/>
  <c r="G455" i="9" s="1"/>
  <c r="C456" i="9"/>
  <c r="F456" i="9" s="1"/>
  <c r="G456" i="9" s="1"/>
  <c r="C457" i="9"/>
  <c r="F457" i="9" s="1"/>
  <c r="G457" i="9" s="1"/>
  <c r="C458" i="9"/>
  <c r="F458" i="9" s="1"/>
  <c r="G458" i="9" s="1"/>
  <c r="C459" i="9"/>
  <c r="F459" i="9" s="1"/>
  <c r="G459" i="9" s="1"/>
  <c r="C460" i="9"/>
  <c r="F460" i="9" s="1"/>
  <c r="G460" i="9" s="1"/>
  <c r="C461" i="9"/>
  <c r="F461" i="9" s="1"/>
  <c r="G461" i="9" s="1"/>
  <c r="C462" i="9"/>
  <c r="F462" i="9" s="1"/>
  <c r="G462" i="9" s="1"/>
  <c r="C463" i="9"/>
  <c r="F463" i="9" s="1"/>
  <c r="G463" i="9" s="1"/>
  <c r="C464" i="9"/>
  <c r="F464" i="9" s="1"/>
  <c r="G464" i="9" s="1"/>
  <c r="C465" i="9"/>
  <c r="F465" i="9" s="1"/>
  <c r="G465" i="9" s="1"/>
  <c r="C466" i="9"/>
  <c r="F466" i="9" s="1"/>
  <c r="G466" i="9" s="1"/>
  <c r="C467" i="9"/>
  <c r="F467" i="9" s="1"/>
  <c r="G467" i="9" s="1"/>
  <c r="C468" i="9"/>
  <c r="F468" i="9" s="1"/>
  <c r="G468" i="9" s="1"/>
  <c r="C469" i="9"/>
  <c r="F469" i="9" s="1"/>
  <c r="G469" i="9" s="1"/>
  <c r="C470" i="9"/>
  <c r="F470" i="9" s="1"/>
  <c r="G470" i="9" s="1"/>
  <c r="C471" i="9"/>
  <c r="F471" i="9" s="1"/>
  <c r="G471" i="9" s="1"/>
  <c r="C472" i="9"/>
  <c r="F472" i="9" s="1"/>
  <c r="G472" i="9" s="1"/>
  <c r="C473" i="9"/>
  <c r="F473" i="9" s="1"/>
  <c r="G473" i="9" s="1"/>
  <c r="C474" i="9"/>
  <c r="F474" i="9" s="1"/>
  <c r="G474" i="9" s="1"/>
  <c r="C475" i="9"/>
  <c r="F475" i="9" s="1"/>
  <c r="G475" i="9" s="1"/>
  <c r="C476" i="9"/>
  <c r="F476" i="9" s="1"/>
  <c r="G476" i="9" s="1"/>
  <c r="C477" i="9"/>
  <c r="F477" i="9" s="1"/>
  <c r="G477" i="9" s="1"/>
  <c r="C478" i="9"/>
  <c r="F478" i="9" s="1"/>
  <c r="G478" i="9" s="1"/>
  <c r="C479" i="9"/>
  <c r="F479" i="9" s="1"/>
  <c r="G479" i="9" s="1"/>
  <c r="C480" i="9"/>
  <c r="F480" i="9" s="1"/>
  <c r="G480" i="9" s="1"/>
  <c r="C481" i="9"/>
  <c r="F481" i="9" s="1"/>
  <c r="G481" i="9" s="1"/>
  <c r="C482" i="9"/>
  <c r="F482" i="9" s="1"/>
  <c r="G482" i="9" s="1"/>
  <c r="C483" i="9"/>
  <c r="F483" i="9" s="1"/>
  <c r="G483" i="9" s="1"/>
  <c r="C484" i="9"/>
  <c r="F484" i="9" s="1"/>
  <c r="G484" i="9" s="1"/>
  <c r="C485" i="9"/>
  <c r="F485" i="9" s="1"/>
  <c r="G485" i="9" s="1"/>
  <c r="C486" i="9"/>
  <c r="F486" i="9" s="1"/>
  <c r="G486" i="9" s="1"/>
  <c r="C487" i="9"/>
  <c r="F487" i="9" s="1"/>
  <c r="G487" i="9" s="1"/>
  <c r="C488" i="9"/>
  <c r="F488" i="9" s="1"/>
  <c r="G488" i="9" s="1"/>
  <c r="C489" i="9"/>
  <c r="F489" i="9" s="1"/>
  <c r="G489" i="9" s="1"/>
  <c r="C490" i="9"/>
  <c r="F490" i="9" s="1"/>
  <c r="G490" i="9" s="1"/>
  <c r="C491" i="9"/>
  <c r="F491" i="9" s="1"/>
  <c r="G491" i="9" s="1"/>
  <c r="C492" i="9"/>
  <c r="F492" i="9" s="1"/>
  <c r="G492" i="9" s="1"/>
  <c r="C493" i="9"/>
  <c r="F493" i="9" s="1"/>
  <c r="G493" i="9" s="1"/>
  <c r="C494" i="9"/>
  <c r="F494" i="9" s="1"/>
  <c r="G494" i="9" s="1"/>
  <c r="C495" i="9"/>
  <c r="F495" i="9" s="1"/>
  <c r="G495" i="9" s="1"/>
  <c r="C496" i="9"/>
  <c r="F496" i="9" s="1"/>
  <c r="G496" i="9" s="1"/>
  <c r="C497" i="9"/>
  <c r="F497" i="9" s="1"/>
  <c r="G497" i="9" s="1"/>
  <c r="C498" i="9"/>
  <c r="F498" i="9" s="1"/>
  <c r="G498" i="9" s="1"/>
  <c r="C499" i="9"/>
  <c r="F499" i="9" s="1"/>
  <c r="G499" i="9" s="1"/>
  <c r="C500" i="9"/>
  <c r="F500" i="9" s="1"/>
  <c r="G500" i="9" s="1"/>
  <c r="C501" i="9"/>
  <c r="F501" i="9" s="1"/>
  <c r="G501" i="9" s="1"/>
  <c r="C502" i="9"/>
  <c r="F502" i="9" s="1"/>
  <c r="G502" i="9" s="1"/>
  <c r="C503" i="9"/>
  <c r="F503" i="9" s="1"/>
  <c r="G503" i="9" s="1"/>
  <c r="C504" i="9"/>
  <c r="F504" i="9" s="1"/>
  <c r="G504" i="9" s="1"/>
  <c r="C505" i="9"/>
  <c r="F505" i="9" s="1"/>
  <c r="G505" i="9" s="1"/>
  <c r="C506" i="9"/>
  <c r="F506" i="9" s="1"/>
  <c r="G506" i="9" s="1"/>
  <c r="C507" i="9"/>
  <c r="F507" i="9" s="1"/>
  <c r="G507" i="9" s="1"/>
  <c r="C508" i="9"/>
  <c r="F508" i="9" s="1"/>
  <c r="G508" i="9" s="1"/>
  <c r="C509" i="9"/>
  <c r="F509" i="9" s="1"/>
  <c r="G509" i="9" s="1"/>
  <c r="C510" i="9"/>
  <c r="F510" i="9" s="1"/>
  <c r="G510" i="9" s="1"/>
  <c r="C511" i="9"/>
  <c r="F511" i="9" s="1"/>
  <c r="G511" i="9" s="1"/>
  <c r="C512" i="9"/>
  <c r="F512" i="9" s="1"/>
  <c r="G512" i="9" s="1"/>
  <c r="C513" i="9"/>
  <c r="F513" i="9" s="1"/>
  <c r="G513" i="9" s="1"/>
  <c r="C514" i="9"/>
  <c r="F514" i="9" s="1"/>
  <c r="G514" i="9" s="1"/>
  <c r="C515" i="9"/>
  <c r="F515" i="9" s="1"/>
  <c r="G515" i="9" s="1"/>
  <c r="C516" i="9"/>
  <c r="F516" i="9" s="1"/>
  <c r="G516" i="9" s="1"/>
  <c r="C517" i="9"/>
  <c r="F517" i="9" s="1"/>
  <c r="G517" i="9" s="1"/>
  <c r="C518" i="9"/>
  <c r="F518" i="9" s="1"/>
  <c r="G518" i="9" s="1"/>
  <c r="C519" i="9"/>
  <c r="F519" i="9" s="1"/>
  <c r="G519" i="9" s="1"/>
  <c r="C520" i="9"/>
  <c r="F520" i="9" s="1"/>
  <c r="G520" i="9" s="1"/>
  <c r="C521" i="9"/>
  <c r="F521" i="9" s="1"/>
  <c r="G521" i="9" s="1"/>
  <c r="C522" i="9"/>
  <c r="F522" i="9" s="1"/>
  <c r="G522" i="9" s="1"/>
  <c r="C523" i="9"/>
  <c r="F523" i="9" s="1"/>
  <c r="G523" i="9" s="1"/>
  <c r="C524" i="9"/>
  <c r="F524" i="9" s="1"/>
  <c r="G524" i="9" s="1"/>
  <c r="C525" i="9"/>
  <c r="F525" i="9" s="1"/>
  <c r="G525" i="9" s="1"/>
  <c r="C526" i="9"/>
  <c r="F526" i="9" s="1"/>
  <c r="G526" i="9" s="1"/>
  <c r="C527" i="9"/>
  <c r="F527" i="9" s="1"/>
  <c r="G527" i="9" s="1"/>
  <c r="C528" i="9"/>
  <c r="F528" i="9" s="1"/>
  <c r="G528" i="9" s="1"/>
  <c r="C529" i="9"/>
  <c r="F529" i="9" s="1"/>
  <c r="G529" i="9" s="1"/>
  <c r="C530" i="9"/>
  <c r="F530" i="9" s="1"/>
  <c r="G530" i="9" s="1"/>
  <c r="C531" i="9"/>
  <c r="F531" i="9" s="1"/>
  <c r="G531" i="9" s="1"/>
  <c r="C532" i="9"/>
  <c r="F532" i="9" s="1"/>
  <c r="G532" i="9" s="1"/>
  <c r="C533" i="9"/>
  <c r="F533" i="9" s="1"/>
  <c r="G533" i="9" s="1"/>
  <c r="C534" i="9"/>
  <c r="F534" i="9" s="1"/>
  <c r="G534" i="9" s="1"/>
  <c r="C535" i="9"/>
  <c r="F535" i="9" s="1"/>
  <c r="G535" i="9" s="1"/>
  <c r="C536" i="9"/>
  <c r="F536" i="9" s="1"/>
  <c r="G536" i="9" s="1"/>
  <c r="C537" i="9"/>
  <c r="F537" i="9" s="1"/>
  <c r="G537" i="9" s="1"/>
  <c r="C538" i="9"/>
  <c r="F538" i="9" s="1"/>
  <c r="G538" i="9" s="1"/>
  <c r="C539" i="9"/>
  <c r="F539" i="9" s="1"/>
  <c r="G539" i="9" s="1"/>
  <c r="C540" i="9"/>
  <c r="F540" i="9" s="1"/>
  <c r="G540" i="9" s="1"/>
  <c r="C541" i="9"/>
  <c r="F541" i="9" s="1"/>
  <c r="G541" i="9" s="1"/>
  <c r="C542" i="9"/>
  <c r="F542" i="9" s="1"/>
  <c r="G542" i="9" s="1"/>
  <c r="C543" i="9"/>
  <c r="F543" i="9" s="1"/>
  <c r="G543" i="9" s="1"/>
  <c r="C544" i="9"/>
  <c r="F544" i="9" s="1"/>
  <c r="G544" i="9" s="1"/>
  <c r="C545" i="9"/>
  <c r="F545" i="9" s="1"/>
  <c r="G545" i="9" s="1"/>
  <c r="C546" i="9"/>
  <c r="F546" i="9" s="1"/>
  <c r="G546" i="9" s="1"/>
  <c r="C547" i="9"/>
  <c r="F547" i="9" s="1"/>
  <c r="G547" i="9" s="1"/>
  <c r="C548" i="9"/>
  <c r="F548" i="9" s="1"/>
  <c r="G548" i="9" s="1"/>
  <c r="C549" i="9"/>
  <c r="F549" i="9" s="1"/>
  <c r="G549" i="9" s="1"/>
  <c r="C550" i="9"/>
  <c r="F550" i="9" s="1"/>
  <c r="G550" i="9" s="1"/>
  <c r="C551" i="9"/>
  <c r="F551" i="9" s="1"/>
  <c r="G551" i="9" s="1"/>
  <c r="C552" i="9"/>
  <c r="F552" i="9" s="1"/>
  <c r="G552" i="9" s="1"/>
  <c r="C553" i="9"/>
  <c r="F553" i="9" s="1"/>
  <c r="G553" i="9" s="1"/>
  <c r="C554" i="9"/>
  <c r="F554" i="9" s="1"/>
  <c r="G554" i="9" s="1"/>
  <c r="C555" i="9"/>
  <c r="F555" i="9" s="1"/>
  <c r="G555" i="9" s="1"/>
  <c r="C556" i="9"/>
  <c r="F556" i="9" s="1"/>
  <c r="G556" i="9" s="1"/>
  <c r="C557" i="9"/>
  <c r="F557" i="9" s="1"/>
  <c r="G557" i="9" s="1"/>
  <c r="C558" i="9"/>
  <c r="F558" i="9" s="1"/>
  <c r="G558" i="9" s="1"/>
  <c r="C559" i="9"/>
  <c r="F559" i="9" s="1"/>
  <c r="G559" i="9" s="1"/>
  <c r="C560" i="9"/>
  <c r="F560" i="9" s="1"/>
  <c r="G560" i="9" s="1"/>
  <c r="C561" i="9"/>
  <c r="F561" i="9" s="1"/>
  <c r="G561" i="9" s="1"/>
  <c r="C562" i="9"/>
  <c r="F562" i="9" s="1"/>
  <c r="G562" i="9" s="1"/>
  <c r="C563" i="9"/>
  <c r="F563" i="9" s="1"/>
  <c r="G563" i="9" s="1"/>
  <c r="C564" i="9"/>
  <c r="F564" i="9" s="1"/>
  <c r="G564" i="9" s="1"/>
  <c r="C565" i="9"/>
  <c r="F565" i="9" s="1"/>
  <c r="G565" i="9" s="1"/>
  <c r="C566" i="9"/>
  <c r="F566" i="9" s="1"/>
  <c r="G566" i="9" s="1"/>
  <c r="C567" i="9"/>
  <c r="F567" i="9" s="1"/>
  <c r="G567" i="9" s="1"/>
  <c r="C568" i="9"/>
  <c r="F568" i="9" s="1"/>
  <c r="G568" i="9" s="1"/>
  <c r="C569" i="9"/>
  <c r="F569" i="9" s="1"/>
  <c r="G569" i="9" s="1"/>
  <c r="C570" i="9"/>
  <c r="F570" i="9" s="1"/>
  <c r="G570" i="9" s="1"/>
  <c r="C571" i="9"/>
  <c r="F571" i="9" s="1"/>
  <c r="G571" i="9" s="1"/>
  <c r="C572" i="9"/>
  <c r="F572" i="9" s="1"/>
  <c r="G572" i="9" s="1"/>
  <c r="C573" i="9"/>
  <c r="F573" i="9" s="1"/>
  <c r="G573" i="9" s="1"/>
  <c r="C574" i="9"/>
  <c r="F574" i="9" s="1"/>
  <c r="G574" i="9" s="1"/>
  <c r="C575" i="9"/>
  <c r="F575" i="9" s="1"/>
  <c r="G575" i="9" s="1"/>
  <c r="C576" i="9"/>
  <c r="F576" i="9" s="1"/>
  <c r="G576" i="9" s="1"/>
  <c r="C577" i="9"/>
  <c r="F577" i="9" s="1"/>
  <c r="G577" i="9" s="1"/>
  <c r="C578" i="9"/>
  <c r="F578" i="9" s="1"/>
  <c r="G578" i="9" s="1"/>
  <c r="C579" i="9"/>
  <c r="F579" i="9" s="1"/>
  <c r="G579" i="9" s="1"/>
  <c r="C580" i="9"/>
  <c r="F580" i="9" s="1"/>
  <c r="G580" i="9" s="1"/>
  <c r="C581" i="9"/>
  <c r="F581" i="9" s="1"/>
  <c r="G581" i="9" s="1"/>
  <c r="C582" i="9"/>
  <c r="F582" i="9" s="1"/>
  <c r="G582" i="9" s="1"/>
  <c r="C583" i="9"/>
  <c r="F583" i="9" s="1"/>
  <c r="G583" i="9" s="1"/>
  <c r="C584" i="9"/>
  <c r="F584" i="9" s="1"/>
  <c r="G584" i="9" s="1"/>
  <c r="C585" i="9"/>
  <c r="F585" i="9" s="1"/>
  <c r="G585" i="9" s="1"/>
  <c r="C586" i="9"/>
  <c r="F586" i="9" s="1"/>
  <c r="G586" i="9" s="1"/>
  <c r="C587" i="9"/>
  <c r="F587" i="9" s="1"/>
  <c r="G587" i="9" s="1"/>
  <c r="C588" i="9"/>
  <c r="F588" i="9" s="1"/>
  <c r="G588" i="9" s="1"/>
  <c r="C589" i="9"/>
  <c r="F589" i="9" s="1"/>
  <c r="G589" i="9" s="1"/>
  <c r="C590" i="9"/>
  <c r="F590" i="9" s="1"/>
  <c r="G590" i="9" s="1"/>
  <c r="C591" i="9"/>
  <c r="F591" i="9" s="1"/>
  <c r="G591" i="9" s="1"/>
  <c r="C592" i="9"/>
  <c r="F592" i="9" s="1"/>
  <c r="G592" i="9" s="1"/>
  <c r="C593" i="9"/>
  <c r="F593" i="9" s="1"/>
  <c r="G593" i="9" s="1"/>
  <c r="C594" i="9"/>
  <c r="F594" i="9" s="1"/>
  <c r="G594" i="9" s="1"/>
  <c r="C595" i="9"/>
  <c r="F595" i="9" s="1"/>
  <c r="G595" i="9" s="1"/>
  <c r="C596" i="9"/>
  <c r="F596" i="9" s="1"/>
  <c r="G596" i="9" s="1"/>
  <c r="C597" i="9"/>
  <c r="F597" i="9" s="1"/>
  <c r="G597" i="9" s="1"/>
  <c r="C598" i="9"/>
  <c r="F598" i="9" s="1"/>
  <c r="G598" i="9" s="1"/>
  <c r="C599" i="9"/>
  <c r="F599" i="9" s="1"/>
  <c r="G599" i="9" s="1"/>
  <c r="C600" i="9"/>
  <c r="F600" i="9" s="1"/>
  <c r="G600" i="9" s="1"/>
  <c r="C601" i="9"/>
  <c r="F601" i="9" s="1"/>
  <c r="G601" i="9" s="1"/>
  <c r="C602" i="9"/>
  <c r="F602" i="9" s="1"/>
  <c r="G602" i="9" s="1"/>
  <c r="C603" i="9"/>
  <c r="F603" i="9" s="1"/>
  <c r="G603" i="9" s="1"/>
  <c r="C604" i="9"/>
  <c r="F604" i="9" s="1"/>
  <c r="G604" i="9" s="1"/>
  <c r="C605" i="9"/>
  <c r="F605" i="9" s="1"/>
  <c r="G605" i="9" s="1"/>
  <c r="C606" i="9"/>
  <c r="F606" i="9" s="1"/>
  <c r="G606" i="9" s="1"/>
  <c r="C607" i="9"/>
  <c r="F607" i="9" s="1"/>
  <c r="G607" i="9" s="1"/>
  <c r="C608" i="9"/>
  <c r="F608" i="9" s="1"/>
  <c r="G608" i="9" s="1"/>
  <c r="C609" i="9"/>
  <c r="F609" i="9" s="1"/>
  <c r="G609" i="9" s="1"/>
  <c r="C610" i="9"/>
  <c r="F610" i="9" s="1"/>
  <c r="G610" i="9" s="1"/>
  <c r="C611" i="9"/>
  <c r="F611" i="9" s="1"/>
  <c r="G611" i="9" s="1"/>
  <c r="C612" i="9"/>
  <c r="F612" i="9" s="1"/>
  <c r="G612" i="9" s="1"/>
  <c r="C613" i="9"/>
  <c r="F613" i="9" s="1"/>
  <c r="G613" i="9" s="1"/>
  <c r="C614" i="9"/>
  <c r="F614" i="9" s="1"/>
  <c r="G614" i="9" s="1"/>
  <c r="C615" i="9"/>
  <c r="F615" i="9" s="1"/>
  <c r="G615" i="9" s="1"/>
  <c r="C616" i="9"/>
  <c r="F616" i="9" s="1"/>
  <c r="G616" i="9" s="1"/>
  <c r="C617" i="9"/>
  <c r="F617" i="9" s="1"/>
  <c r="G617" i="9" s="1"/>
  <c r="C618" i="9"/>
  <c r="F618" i="9" s="1"/>
  <c r="G618" i="9" s="1"/>
  <c r="C619" i="9"/>
  <c r="F619" i="9" s="1"/>
  <c r="G619" i="9" s="1"/>
  <c r="C620" i="9"/>
  <c r="F620" i="9" s="1"/>
  <c r="G620" i="9" s="1"/>
  <c r="C621" i="9"/>
  <c r="F621" i="9" s="1"/>
  <c r="G621" i="9" s="1"/>
  <c r="C622" i="9"/>
  <c r="F622" i="9" s="1"/>
  <c r="G622" i="9" s="1"/>
  <c r="C623" i="9"/>
  <c r="F623" i="9" s="1"/>
  <c r="G623" i="9" s="1"/>
  <c r="C624" i="9"/>
  <c r="F624" i="9" s="1"/>
  <c r="G624" i="9" s="1"/>
  <c r="C625" i="9"/>
  <c r="F625" i="9" s="1"/>
  <c r="G625" i="9" s="1"/>
  <c r="C626" i="9"/>
  <c r="F626" i="9" s="1"/>
  <c r="G626" i="9" s="1"/>
  <c r="C627" i="9"/>
  <c r="F627" i="9" s="1"/>
  <c r="G627" i="9" s="1"/>
  <c r="C628" i="9"/>
  <c r="F628" i="9" s="1"/>
  <c r="G628" i="9" s="1"/>
  <c r="C629" i="9"/>
  <c r="F629" i="9" s="1"/>
  <c r="G629" i="9" s="1"/>
  <c r="C630" i="9"/>
  <c r="F630" i="9" s="1"/>
  <c r="G630" i="9" s="1"/>
  <c r="C631" i="9"/>
  <c r="F631" i="9" s="1"/>
  <c r="G631" i="9" s="1"/>
  <c r="C632" i="9"/>
  <c r="F632" i="9" s="1"/>
  <c r="G632" i="9" s="1"/>
  <c r="C633" i="9"/>
  <c r="F633" i="9" s="1"/>
  <c r="G633" i="9" s="1"/>
  <c r="C634" i="9"/>
  <c r="F634" i="9" s="1"/>
  <c r="G634" i="9" s="1"/>
  <c r="C635" i="9"/>
  <c r="F635" i="9" s="1"/>
  <c r="G635" i="9" s="1"/>
  <c r="C636" i="9"/>
  <c r="F636" i="9" s="1"/>
  <c r="G636" i="9" s="1"/>
  <c r="C637" i="9"/>
  <c r="F637" i="9" s="1"/>
  <c r="G637" i="9" s="1"/>
  <c r="C638" i="9"/>
  <c r="F638" i="9" s="1"/>
  <c r="G638" i="9" s="1"/>
  <c r="C639" i="9"/>
  <c r="F639" i="9" s="1"/>
  <c r="G639" i="9" s="1"/>
  <c r="C640" i="9"/>
  <c r="F640" i="9" s="1"/>
  <c r="G640" i="9" s="1"/>
  <c r="C641" i="9"/>
  <c r="F641" i="9" s="1"/>
  <c r="G641" i="9" s="1"/>
  <c r="C642" i="9"/>
  <c r="F642" i="9" s="1"/>
  <c r="G642" i="9" s="1"/>
  <c r="C643" i="9"/>
  <c r="F643" i="9" s="1"/>
  <c r="G643" i="9" s="1"/>
  <c r="C644" i="9"/>
  <c r="F644" i="9" s="1"/>
  <c r="G644" i="9" s="1"/>
  <c r="C645" i="9"/>
  <c r="F645" i="9" s="1"/>
  <c r="G645" i="9" s="1"/>
  <c r="C646" i="9"/>
  <c r="F646" i="9" s="1"/>
  <c r="G646" i="9" s="1"/>
  <c r="C647" i="9"/>
  <c r="F647" i="9" s="1"/>
  <c r="G647" i="9" s="1"/>
  <c r="C648" i="9"/>
  <c r="F648" i="9" s="1"/>
  <c r="G648" i="9" s="1"/>
  <c r="C649" i="9"/>
  <c r="F649" i="9" s="1"/>
  <c r="G649" i="9" s="1"/>
  <c r="C650" i="9"/>
  <c r="F650" i="9" s="1"/>
  <c r="G650" i="9" s="1"/>
  <c r="C651" i="9"/>
  <c r="F651" i="9" s="1"/>
  <c r="G651" i="9" s="1"/>
  <c r="C652" i="9"/>
  <c r="F652" i="9" s="1"/>
  <c r="G652" i="9" s="1"/>
  <c r="C653" i="9"/>
  <c r="F653" i="9" s="1"/>
  <c r="G653" i="9" s="1"/>
  <c r="C654" i="9"/>
  <c r="F654" i="9" s="1"/>
  <c r="G654" i="9" s="1"/>
  <c r="C655" i="9"/>
  <c r="F655" i="9" s="1"/>
  <c r="G655" i="9" s="1"/>
  <c r="C656" i="9"/>
  <c r="F656" i="9" s="1"/>
  <c r="G656" i="9" s="1"/>
  <c r="C657" i="9"/>
  <c r="F657" i="9" s="1"/>
  <c r="G657" i="9" s="1"/>
  <c r="C658" i="9"/>
  <c r="F658" i="9" s="1"/>
  <c r="G658" i="9" s="1"/>
  <c r="C659" i="9"/>
  <c r="F659" i="9" s="1"/>
  <c r="G659" i="9" s="1"/>
  <c r="C660" i="9"/>
  <c r="F660" i="9" s="1"/>
  <c r="G660" i="9" s="1"/>
  <c r="C661" i="9"/>
  <c r="F661" i="9" s="1"/>
  <c r="G661" i="9" s="1"/>
  <c r="C662" i="9"/>
  <c r="F662" i="9" s="1"/>
  <c r="G662" i="9" s="1"/>
  <c r="C663" i="9"/>
  <c r="F663" i="9" s="1"/>
  <c r="G663" i="9" s="1"/>
  <c r="C664" i="9"/>
  <c r="F664" i="9" s="1"/>
  <c r="G664" i="9" s="1"/>
  <c r="C665" i="9"/>
  <c r="F665" i="9" s="1"/>
  <c r="G665" i="9" s="1"/>
  <c r="C666" i="9"/>
  <c r="F666" i="9" s="1"/>
  <c r="G666" i="9" s="1"/>
  <c r="C667" i="9"/>
  <c r="F667" i="9" s="1"/>
  <c r="G667" i="9" s="1"/>
  <c r="C668" i="9"/>
  <c r="F668" i="9" s="1"/>
  <c r="G668" i="9" s="1"/>
  <c r="C669" i="9"/>
  <c r="F669" i="9" s="1"/>
  <c r="G669" i="9" s="1"/>
  <c r="C670" i="9"/>
  <c r="F670" i="9" s="1"/>
  <c r="G670" i="9" s="1"/>
  <c r="C671" i="9"/>
  <c r="F671" i="9" s="1"/>
  <c r="G671" i="9" s="1"/>
  <c r="C672" i="9"/>
  <c r="F672" i="9" s="1"/>
  <c r="G672" i="9" s="1"/>
  <c r="C673" i="9"/>
  <c r="F673" i="9" s="1"/>
  <c r="G673" i="9" s="1"/>
  <c r="C674" i="9"/>
  <c r="F674" i="9" s="1"/>
  <c r="G674" i="9" s="1"/>
  <c r="C675" i="9"/>
  <c r="F675" i="9" s="1"/>
  <c r="G675" i="9" s="1"/>
  <c r="C676" i="9"/>
  <c r="F676" i="9" s="1"/>
  <c r="G676" i="9" s="1"/>
  <c r="C677" i="9"/>
  <c r="F677" i="9" s="1"/>
  <c r="G677" i="9" s="1"/>
  <c r="C678" i="9"/>
  <c r="F678" i="9" s="1"/>
  <c r="G678" i="9" s="1"/>
  <c r="C679" i="9"/>
  <c r="F679" i="9" s="1"/>
  <c r="G679" i="9" s="1"/>
  <c r="C680" i="9"/>
  <c r="F680" i="9" s="1"/>
  <c r="G680" i="9" s="1"/>
  <c r="C681" i="9"/>
  <c r="F681" i="9" s="1"/>
  <c r="G681" i="9" s="1"/>
  <c r="C682" i="9"/>
  <c r="F682" i="9" s="1"/>
  <c r="G682" i="9" s="1"/>
  <c r="C683" i="9"/>
  <c r="F683" i="9" s="1"/>
  <c r="G683" i="9" s="1"/>
  <c r="C684" i="9"/>
  <c r="F684" i="9" s="1"/>
  <c r="G684" i="9" s="1"/>
  <c r="C685" i="9"/>
  <c r="F685" i="9" s="1"/>
  <c r="G685" i="9" s="1"/>
  <c r="C686" i="9"/>
  <c r="F686" i="9" s="1"/>
  <c r="G686" i="9" s="1"/>
  <c r="C687" i="9"/>
  <c r="F687" i="9" s="1"/>
  <c r="G687" i="9" s="1"/>
  <c r="C688" i="9"/>
  <c r="F688" i="9" s="1"/>
  <c r="G688" i="9" s="1"/>
  <c r="C689" i="9"/>
  <c r="F689" i="9" s="1"/>
  <c r="G689" i="9" s="1"/>
  <c r="C690" i="9"/>
  <c r="F690" i="9" s="1"/>
  <c r="G690" i="9" s="1"/>
  <c r="C691" i="9"/>
  <c r="F691" i="9" s="1"/>
  <c r="G691" i="9" s="1"/>
  <c r="C692" i="9"/>
  <c r="F692" i="9" s="1"/>
  <c r="G692" i="9" s="1"/>
  <c r="C693" i="9"/>
  <c r="F693" i="9" s="1"/>
  <c r="G693" i="9" s="1"/>
  <c r="C694" i="9"/>
  <c r="F694" i="9" s="1"/>
  <c r="G694" i="9" s="1"/>
  <c r="C695" i="9"/>
  <c r="F695" i="9" s="1"/>
  <c r="G695" i="9" s="1"/>
  <c r="C696" i="9"/>
  <c r="F696" i="9" s="1"/>
  <c r="G696" i="9" s="1"/>
  <c r="C697" i="9"/>
  <c r="F697" i="9" s="1"/>
  <c r="G697" i="9" s="1"/>
  <c r="C698" i="9"/>
  <c r="F698" i="9" s="1"/>
  <c r="G698" i="9" s="1"/>
  <c r="C699" i="9"/>
  <c r="F699" i="9" s="1"/>
  <c r="G699" i="9" s="1"/>
  <c r="C700" i="9"/>
  <c r="F700" i="9" s="1"/>
  <c r="G700" i="9" s="1"/>
  <c r="C701" i="9"/>
  <c r="F701" i="9" s="1"/>
  <c r="G701" i="9" s="1"/>
  <c r="C702" i="9"/>
  <c r="F702" i="9" s="1"/>
  <c r="G702" i="9" s="1"/>
  <c r="C703" i="9"/>
  <c r="F703" i="9" s="1"/>
  <c r="G703" i="9" s="1"/>
  <c r="C704" i="9"/>
  <c r="F704" i="9" s="1"/>
  <c r="G704" i="9" s="1"/>
  <c r="C705" i="9"/>
  <c r="F705" i="9" s="1"/>
  <c r="G705" i="9" s="1"/>
  <c r="C706" i="9"/>
  <c r="F706" i="9" s="1"/>
  <c r="G706" i="9" s="1"/>
  <c r="C707" i="9"/>
  <c r="F707" i="9" s="1"/>
  <c r="G707" i="9" s="1"/>
  <c r="C708" i="9"/>
  <c r="F708" i="9" s="1"/>
  <c r="G708" i="9" s="1"/>
  <c r="C709" i="9"/>
  <c r="F709" i="9" s="1"/>
  <c r="G709" i="9" s="1"/>
  <c r="C710" i="9"/>
  <c r="F710" i="9" s="1"/>
  <c r="G710" i="9" s="1"/>
  <c r="C711" i="9"/>
  <c r="F711" i="9" s="1"/>
  <c r="G711" i="9" s="1"/>
  <c r="C712" i="9"/>
  <c r="F712" i="9" s="1"/>
  <c r="G712" i="9" s="1"/>
  <c r="C713" i="9"/>
  <c r="F713" i="9" s="1"/>
  <c r="G713" i="9" s="1"/>
  <c r="C714" i="9"/>
  <c r="F714" i="9" s="1"/>
  <c r="G714" i="9" s="1"/>
  <c r="C715" i="9"/>
  <c r="F715" i="9" s="1"/>
  <c r="G715" i="9" s="1"/>
  <c r="C716" i="9"/>
  <c r="F716" i="9" s="1"/>
  <c r="G716" i="9" s="1"/>
  <c r="C717" i="9"/>
  <c r="F717" i="9" s="1"/>
  <c r="G717" i="9" s="1"/>
  <c r="C718" i="9"/>
  <c r="F718" i="9" s="1"/>
  <c r="G718" i="9" s="1"/>
  <c r="C719" i="9"/>
  <c r="F719" i="9" s="1"/>
  <c r="G719" i="9" s="1"/>
  <c r="C720" i="9"/>
  <c r="F720" i="9" s="1"/>
  <c r="G720" i="9" s="1"/>
  <c r="C721" i="9"/>
  <c r="F721" i="9" s="1"/>
  <c r="G721" i="9" s="1"/>
  <c r="C722" i="9"/>
  <c r="F722" i="9" s="1"/>
  <c r="G722" i="9" s="1"/>
  <c r="C723" i="9"/>
  <c r="F723" i="9" s="1"/>
  <c r="G723" i="9" s="1"/>
  <c r="C724" i="9"/>
  <c r="F724" i="9" s="1"/>
  <c r="G724" i="9" s="1"/>
  <c r="C725" i="9"/>
  <c r="F725" i="9" s="1"/>
  <c r="G725" i="9" s="1"/>
  <c r="C726" i="9"/>
  <c r="F726" i="9" s="1"/>
  <c r="G726" i="9" s="1"/>
  <c r="C727" i="9"/>
  <c r="F727" i="9" s="1"/>
  <c r="G727" i="9" s="1"/>
  <c r="C728" i="9"/>
  <c r="F728" i="9" s="1"/>
  <c r="G728" i="9" s="1"/>
  <c r="C729" i="9"/>
  <c r="F729" i="9" s="1"/>
  <c r="G729" i="9" s="1"/>
  <c r="C730" i="9"/>
  <c r="F730" i="9" s="1"/>
  <c r="G730" i="9" s="1"/>
  <c r="C731" i="9"/>
  <c r="F731" i="9" s="1"/>
  <c r="G731" i="9" s="1"/>
  <c r="C732" i="9"/>
  <c r="F732" i="9" s="1"/>
  <c r="G732" i="9" s="1"/>
  <c r="C733" i="9"/>
  <c r="F733" i="9" s="1"/>
  <c r="G733" i="9" s="1"/>
  <c r="C734" i="9"/>
  <c r="F734" i="9" s="1"/>
  <c r="G734" i="9" s="1"/>
  <c r="C735" i="9"/>
  <c r="F735" i="9" s="1"/>
  <c r="G735" i="9" s="1"/>
  <c r="C736" i="9"/>
  <c r="F736" i="9" s="1"/>
  <c r="G736" i="9" s="1"/>
  <c r="C737" i="9"/>
  <c r="F737" i="9" s="1"/>
  <c r="G737" i="9" s="1"/>
  <c r="C738" i="9"/>
  <c r="F738" i="9" s="1"/>
  <c r="G738" i="9" s="1"/>
  <c r="C739" i="9"/>
  <c r="F739" i="9" s="1"/>
  <c r="G739" i="9" s="1"/>
  <c r="C740" i="9"/>
  <c r="F740" i="9" s="1"/>
  <c r="G740" i="9" s="1"/>
  <c r="C741" i="9"/>
  <c r="F741" i="9" s="1"/>
  <c r="G741" i="9" s="1"/>
  <c r="C742" i="9"/>
  <c r="F742" i="9" s="1"/>
  <c r="G742" i="9" s="1"/>
  <c r="C743" i="9"/>
  <c r="F743" i="9" s="1"/>
  <c r="G743" i="9" s="1"/>
  <c r="C744" i="9"/>
  <c r="F744" i="9" s="1"/>
  <c r="G744" i="9" s="1"/>
  <c r="C745" i="9"/>
  <c r="F745" i="9" s="1"/>
  <c r="G745" i="9" s="1"/>
  <c r="C746" i="9"/>
  <c r="F746" i="9" s="1"/>
  <c r="G746" i="9" s="1"/>
  <c r="C747" i="9"/>
  <c r="F747" i="9" s="1"/>
  <c r="G747" i="9" s="1"/>
  <c r="C748" i="9"/>
  <c r="F748" i="9" s="1"/>
  <c r="G748" i="9" s="1"/>
  <c r="C749" i="9"/>
  <c r="F749" i="9" s="1"/>
  <c r="G749" i="9" s="1"/>
  <c r="C750" i="9"/>
  <c r="F750" i="9" s="1"/>
  <c r="G750" i="9" s="1"/>
  <c r="C751" i="9"/>
  <c r="F751" i="9" s="1"/>
  <c r="G751" i="9" s="1"/>
  <c r="C752" i="9"/>
  <c r="F752" i="9" s="1"/>
  <c r="G752" i="9" s="1"/>
  <c r="C753" i="9"/>
  <c r="F753" i="9" s="1"/>
  <c r="G753" i="9" s="1"/>
  <c r="C754" i="9"/>
  <c r="F754" i="9" s="1"/>
  <c r="G754" i="9" s="1"/>
  <c r="C755" i="9"/>
  <c r="F755" i="9" s="1"/>
  <c r="G755" i="9" s="1"/>
  <c r="C756" i="9"/>
  <c r="F756" i="9" s="1"/>
  <c r="G756" i="9" s="1"/>
  <c r="C757" i="9"/>
  <c r="F757" i="9" s="1"/>
  <c r="G757" i="9" s="1"/>
  <c r="C758" i="9"/>
  <c r="F758" i="9" s="1"/>
  <c r="G758" i="9" s="1"/>
  <c r="C759" i="9"/>
  <c r="F759" i="9" s="1"/>
  <c r="G759" i="9" s="1"/>
  <c r="C760" i="9"/>
  <c r="F760" i="9" s="1"/>
  <c r="G760" i="9" s="1"/>
  <c r="C761" i="9"/>
  <c r="F761" i="9" s="1"/>
  <c r="G761" i="9" s="1"/>
  <c r="C762" i="9"/>
  <c r="F762" i="9" s="1"/>
  <c r="G762" i="9" s="1"/>
  <c r="C763" i="9"/>
  <c r="F763" i="9" s="1"/>
  <c r="G763" i="9" s="1"/>
  <c r="C764" i="9"/>
  <c r="F764" i="9" s="1"/>
  <c r="G764" i="9" s="1"/>
  <c r="C765" i="9"/>
  <c r="F765" i="9" s="1"/>
  <c r="G765" i="9" s="1"/>
  <c r="C766" i="9"/>
  <c r="F766" i="9" s="1"/>
  <c r="G766" i="9" s="1"/>
  <c r="C767" i="9"/>
  <c r="F767" i="9" s="1"/>
  <c r="G767" i="9" s="1"/>
  <c r="C768" i="9"/>
  <c r="F768" i="9" s="1"/>
  <c r="G768" i="9" s="1"/>
  <c r="C769" i="9"/>
  <c r="F769" i="9" s="1"/>
  <c r="G769" i="9" s="1"/>
  <c r="C770" i="9"/>
  <c r="F770" i="9" s="1"/>
  <c r="G770" i="9" s="1"/>
  <c r="C771" i="9"/>
  <c r="F771" i="9" s="1"/>
  <c r="G771" i="9" s="1"/>
  <c r="C772" i="9"/>
  <c r="F772" i="9" s="1"/>
  <c r="G772" i="9" s="1"/>
  <c r="C773" i="9"/>
  <c r="F773" i="9" s="1"/>
  <c r="G773" i="9" s="1"/>
  <c r="C774" i="9"/>
  <c r="F774" i="9" s="1"/>
  <c r="G774" i="9" s="1"/>
  <c r="C775" i="9"/>
  <c r="F775" i="9" s="1"/>
  <c r="G775" i="9" s="1"/>
  <c r="C776" i="9"/>
  <c r="F776" i="9" s="1"/>
  <c r="G776" i="9" s="1"/>
  <c r="C777" i="9"/>
  <c r="F777" i="9" s="1"/>
  <c r="G777" i="9" s="1"/>
  <c r="C778" i="9"/>
  <c r="F778" i="9" s="1"/>
  <c r="G778" i="9" s="1"/>
  <c r="C779" i="9"/>
  <c r="F779" i="9" s="1"/>
  <c r="G779" i="9" s="1"/>
  <c r="C780" i="9"/>
  <c r="F780" i="9" s="1"/>
  <c r="G780" i="9" s="1"/>
  <c r="C781" i="9"/>
  <c r="F781" i="9" s="1"/>
  <c r="G781" i="9" s="1"/>
  <c r="C782" i="9"/>
  <c r="F782" i="9" s="1"/>
  <c r="G782" i="9" s="1"/>
  <c r="C783" i="9"/>
  <c r="F783" i="9" s="1"/>
  <c r="G783" i="9" s="1"/>
  <c r="C784" i="9"/>
  <c r="F784" i="9" s="1"/>
  <c r="G784" i="9" s="1"/>
  <c r="C785" i="9"/>
  <c r="F785" i="9" s="1"/>
  <c r="G785" i="9" s="1"/>
  <c r="C786" i="9"/>
  <c r="F786" i="9" s="1"/>
  <c r="G786" i="9" s="1"/>
  <c r="C787" i="9"/>
  <c r="F787" i="9" s="1"/>
  <c r="G787" i="9" s="1"/>
  <c r="C788" i="9"/>
  <c r="F788" i="9" s="1"/>
  <c r="G788" i="9" s="1"/>
  <c r="C789" i="9"/>
  <c r="F789" i="9" s="1"/>
  <c r="G789" i="9" s="1"/>
  <c r="C790" i="9"/>
  <c r="F790" i="9" s="1"/>
  <c r="G790" i="9" s="1"/>
  <c r="C791" i="9"/>
  <c r="F791" i="9" s="1"/>
  <c r="G791" i="9" s="1"/>
  <c r="C792" i="9"/>
  <c r="F792" i="9" s="1"/>
  <c r="G792" i="9" s="1"/>
  <c r="C793" i="9"/>
  <c r="F793" i="9" s="1"/>
  <c r="G793" i="9" s="1"/>
  <c r="C794" i="9"/>
  <c r="F794" i="9" s="1"/>
  <c r="G794" i="9" s="1"/>
  <c r="C795" i="9"/>
  <c r="F795" i="9" s="1"/>
  <c r="G795" i="9" s="1"/>
  <c r="C796" i="9"/>
  <c r="F796" i="9" s="1"/>
  <c r="G796" i="9" s="1"/>
  <c r="C797" i="9"/>
  <c r="F797" i="9" s="1"/>
  <c r="G797" i="9" s="1"/>
  <c r="C798" i="9"/>
  <c r="F798" i="9" s="1"/>
  <c r="G798" i="9" s="1"/>
  <c r="C799" i="9"/>
  <c r="F799" i="9" s="1"/>
  <c r="G799" i="9" s="1"/>
  <c r="C800" i="9"/>
  <c r="F800" i="9" s="1"/>
  <c r="G800" i="9" s="1"/>
  <c r="C801" i="9"/>
  <c r="F801" i="9" s="1"/>
  <c r="G801" i="9" s="1"/>
  <c r="C802" i="9"/>
  <c r="F802" i="9" s="1"/>
  <c r="G802" i="9" s="1"/>
  <c r="C803" i="9"/>
  <c r="F803" i="9" s="1"/>
  <c r="G803" i="9" s="1"/>
  <c r="C804" i="9"/>
  <c r="F804" i="9" s="1"/>
  <c r="G804" i="9" s="1"/>
  <c r="C805" i="9"/>
  <c r="F805" i="9" s="1"/>
  <c r="G805" i="9" s="1"/>
  <c r="C806" i="9"/>
  <c r="F806" i="9" s="1"/>
  <c r="G806" i="9" s="1"/>
  <c r="C807" i="9"/>
  <c r="F807" i="9" s="1"/>
  <c r="G807" i="9" s="1"/>
  <c r="C808" i="9"/>
  <c r="F808" i="9" s="1"/>
  <c r="G808" i="9" s="1"/>
  <c r="C809" i="9"/>
  <c r="F809" i="9" s="1"/>
  <c r="G809" i="9" s="1"/>
  <c r="C810" i="9"/>
  <c r="F810" i="9" s="1"/>
  <c r="G810" i="9" s="1"/>
  <c r="C811" i="9"/>
  <c r="F811" i="9" s="1"/>
  <c r="G811" i="9" s="1"/>
  <c r="C812" i="9"/>
  <c r="F812" i="9" s="1"/>
  <c r="G812" i="9" s="1"/>
  <c r="C813" i="9"/>
  <c r="F813" i="9" s="1"/>
  <c r="G813" i="9" s="1"/>
  <c r="C814" i="9"/>
  <c r="F814" i="9" s="1"/>
  <c r="G814" i="9" s="1"/>
  <c r="C815" i="9"/>
  <c r="F815" i="9" s="1"/>
  <c r="G815" i="9" s="1"/>
  <c r="C816" i="9"/>
  <c r="F816" i="9" s="1"/>
  <c r="G816" i="9" s="1"/>
  <c r="C817" i="9"/>
  <c r="F817" i="9" s="1"/>
  <c r="G817" i="9" s="1"/>
  <c r="C818" i="9"/>
  <c r="F818" i="9" s="1"/>
  <c r="G818" i="9" s="1"/>
  <c r="C819" i="9"/>
  <c r="F819" i="9" s="1"/>
  <c r="G819" i="9" s="1"/>
  <c r="C820" i="9"/>
  <c r="F820" i="9" s="1"/>
  <c r="G820" i="9" s="1"/>
  <c r="C821" i="9"/>
  <c r="F821" i="9" s="1"/>
  <c r="G821" i="9" s="1"/>
  <c r="C822" i="9"/>
  <c r="F822" i="9" s="1"/>
  <c r="G822" i="9" s="1"/>
  <c r="C823" i="9"/>
  <c r="F823" i="9" s="1"/>
  <c r="G823" i="9" s="1"/>
  <c r="C824" i="9"/>
  <c r="F824" i="9" s="1"/>
  <c r="G824" i="9" s="1"/>
  <c r="C825" i="9"/>
  <c r="F825" i="9" s="1"/>
  <c r="G825" i="9" s="1"/>
  <c r="C826" i="9"/>
  <c r="F826" i="9" s="1"/>
  <c r="G826" i="9" s="1"/>
  <c r="C827" i="9"/>
  <c r="F827" i="9" s="1"/>
  <c r="G827" i="9" s="1"/>
  <c r="C828" i="9"/>
  <c r="F828" i="9" s="1"/>
  <c r="G828" i="9" s="1"/>
  <c r="C829" i="9"/>
  <c r="F829" i="9" s="1"/>
  <c r="G829" i="9" s="1"/>
  <c r="C830" i="9"/>
  <c r="F830" i="9" s="1"/>
  <c r="G830" i="9" s="1"/>
  <c r="C831" i="9"/>
  <c r="F831" i="9" s="1"/>
  <c r="G831" i="9" s="1"/>
  <c r="C832" i="9"/>
  <c r="F832" i="9" s="1"/>
  <c r="G832" i="9" s="1"/>
  <c r="C833" i="9"/>
  <c r="F833" i="9" s="1"/>
  <c r="G833" i="9" s="1"/>
  <c r="C834" i="9"/>
  <c r="F834" i="9" s="1"/>
  <c r="G834" i="9" s="1"/>
  <c r="C835" i="9"/>
  <c r="F835" i="9" s="1"/>
  <c r="G835" i="9" s="1"/>
  <c r="C836" i="9"/>
  <c r="F836" i="9" s="1"/>
  <c r="G836" i="9" s="1"/>
  <c r="C837" i="9"/>
  <c r="F837" i="9" s="1"/>
  <c r="G837" i="9" s="1"/>
  <c r="C838" i="9"/>
  <c r="F838" i="9" s="1"/>
  <c r="G838" i="9" s="1"/>
  <c r="C839" i="9"/>
  <c r="F839" i="9" s="1"/>
  <c r="G839" i="9" s="1"/>
  <c r="C840" i="9"/>
  <c r="F840" i="9" s="1"/>
  <c r="G840" i="9" s="1"/>
  <c r="C841" i="9"/>
  <c r="F841" i="9" s="1"/>
  <c r="G841" i="9" s="1"/>
  <c r="C842" i="9"/>
  <c r="F842" i="9" s="1"/>
  <c r="G842" i="9" s="1"/>
  <c r="C843" i="9"/>
  <c r="F843" i="9" s="1"/>
  <c r="G843" i="9" s="1"/>
  <c r="C844" i="9"/>
  <c r="F844" i="9" s="1"/>
  <c r="G844" i="9" s="1"/>
  <c r="C845" i="9"/>
  <c r="F845" i="9" s="1"/>
  <c r="G845" i="9" s="1"/>
  <c r="C846" i="9"/>
  <c r="F846" i="9" s="1"/>
  <c r="G846" i="9" s="1"/>
  <c r="C847" i="9"/>
  <c r="F847" i="9" s="1"/>
  <c r="G847" i="9" s="1"/>
  <c r="C848" i="9"/>
  <c r="F848" i="9" s="1"/>
  <c r="G848" i="9" s="1"/>
  <c r="C849" i="9"/>
  <c r="F849" i="9" s="1"/>
  <c r="G849" i="9" s="1"/>
  <c r="C850" i="9"/>
  <c r="F850" i="9" s="1"/>
  <c r="G850" i="9" s="1"/>
  <c r="C851" i="9"/>
  <c r="F851" i="9" s="1"/>
  <c r="G851" i="9" s="1"/>
  <c r="C852" i="9"/>
  <c r="F852" i="9" s="1"/>
  <c r="G852" i="9" s="1"/>
  <c r="C853" i="9"/>
  <c r="F853" i="9" s="1"/>
  <c r="G853" i="9" s="1"/>
  <c r="C854" i="9"/>
  <c r="F854" i="9" s="1"/>
  <c r="G854" i="9" s="1"/>
  <c r="C855" i="9"/>
  <c r="F855" i="9" s="1"/>
  <c r="G855" i="9" s="1"/>
  <c r="C856" i="9"/>
  <c r="F856" i="9" s="1"/>
  <c r="G856" i="9" s="1"/>
  <c r="C857" i="9"/>
  <c r="F857" i="9" s="1"/>
  <c r="G857" i="9" s="1"/>
  <c r="C858" i="9"/>
  <c r="F858" i="9" s="1"/>
  <c r="G858" i="9" s="1"/>
  <c r="C859" i="9"/>
  <c r="F859" i="9" s="1"/>
  <c r="G859" i="9" s="1"/>
  <c r="C860" i="9"/>
  <c r="F860" i="9" s="1"/>
  <c r="G860" i="9" s="1"/>
  <c r="C861" i="9"/>
  <c r="F861" i="9" s="1"/>
  <c r="G861" i="9" s="1"/>
  <c r="C862" i="9"/>
  <c r="F862" i="9" s="1"/>
  <c r="G862" i="9" s="1"/>
  <c r="C863" i="9"/>
  <c r="F863" i="9" s="1"/>
  <c r="G863" i="9" s="1"/>
  <c r="C864" i="9"/>
  <c r="F864" i="9" s="1"/>
  <c r="G864" i="9" s="1"/>
  <c r="C865" i="9"/>
  <c r="F865" i="9" s="1"/>
  <c r="G865" i="9" s="1"/>
  <c r="C866" i="9"/>
  <c r="F866" i="9" s="1"/>
  <c r="G866" i="9" s="1"/>
  <c r="C867" i="9"/>
  <c r="F867" i="9" s="1"/>
  <c r="G867" i="9" s="1"/>
  <c r="C868" i="9"/>
  <c r="F868" i="9" s="1"/>
  <c r="G868" i="9" s="1"/>
  <c r="C869" i="9"/>
  <c r="F869" i="9" s="1"/>
  <c r="G869" i="9" s="1"/>
  <c r="C870" i="9"/>
  <c r="F870" i="9" s="1"/>
  <c r="G870" i="9" s="1"/>
  <c r="C871" i="9"/>
  <c r="F871" i="9" s="1"/>
  <c r="G871" i="9" s="1"/>
  <c r="C872" i="9"/>
  <c r="F872" i="9" s="1"/>
  <c r="G872" i="9" s="1"/>
  <c r="C873" i="9"/>
  <c r="F873" i="9" s="1"/>
  <c r="G873" i="9" s="1"/>
  <c r="C874" i="9"/>
  <c r="F874" i="9" s="1"/>
  <c r="G874" i="9" s="1"/>
  <c r="C875" i="9"/>
  <c r="F875" i="9" s="1"/>
  <c r="G875" i="9" s="1"/>
  <c r="C876" i="9"/>
  <c r="F876" i="9" s="1"/>
  <c r="G876" i="9" s="1"/>
  <c r="C877" i="9"/>
  <c r="F877" i="9" s="1"/>
  <c r="G877" i="9" s="1"/>
  <c r="C878" i="9"/>
  <c r="F878" i="9" s="1"/>
  <c r="G878" i="9" s="1"/>
  <c r="C879" i="9"/>
  <c r="F879" i="9" s="1"/>
  <c r="G879" i="9" s="1"/>
  <c r="C880" i="9"/>
  <c r="F880" i="9" s="1"/>
  <c r="G880" i="9" s="1"/>
  <c r="C881" i="9"/>
  <c r="F881" i="9" s="1"/>
  <c r="G881" i="9" s="1"/>
  <c r="C882" i="9"/>
  <c r="F882" i="9" s="1"/>
  <c r="G882" i="9" s="1"/>
  <c r="C883" i="9"/>
  <c r="F883" i="9" s="1"/>
  <c r="G883" i="9" s="1"/>
  <c r="C884" i="9"/>
  <c r="F884" i="9" s="1"/>
  <c r="G884" i="9" s="1"/>
  <c r="C885" i="9"/>
  <c r="F885" i="9" s="1"/>
  <c r="G885" i="9" s="1"/>
  <c r="C886" i="9"/>
  <c r="F886" i="9" s="1"/>
  <c r="G886" i="9" s="1"/>
  <c r="C887" i="9"/>
  <c r="F887" i="9" s="1"/>
  <c r="G887" i="9" s="1"/>
  <c r="C888" i="9"/>
  <c r="F888" i="9" s="1"/>
  <c r="G888" i="9" s="1"/>
  <c r="C889" i="9"/>
  <c r="F889" i="9" s="1"/>
  <c r="G889" i="9" s="1"/>
  <c r="C890" i="9"/>
  <c r="F890" i="9" s="1"/>
  <c r="G890" i="9" s="1"/>
  <c r="C891" i="9"/>
  <c r="F891" i="9" s="1"/>
  <c r="G891" i="9" s="1"/>
  <c r="C892" i="9"/>
  <c r="F892" i="9" s="1"/>
  <c r="G892" i="9" s="1"/>
  <c r="C893" i="9"/>
  <c r="F893" i="9" s="1"/>
  <c r="G893" i="9" s="1"/>
  <c r="C894" i="9"/>
  <c r="F894" i="9" s="1"/>
  <c r="G894" i="9" s="1"/>
  <c r="C895" i="9"/>
  <c r="F895" i="9" s="1"/>
  <c r="G895" i="9" s="1"/>
  <c r="C896" i="9"/>
  <c r="F896" i="9" s="1"/>
  <c r="G896" i="9" s="1"/>
  <c r="C897" i="9"/>
  <c r="F897" i="9" s="1"/>
  <c r="G897" i="9" s="1"/>
  <c r="C898" i="9"/>
  <c r="F898" i="9" s="1"/>
  <c r="G898" i="9" s="1"/>
  <c r="C899" i="9"/>
  <c r="F899" i="9" s="1"/>
  <c r="G899" i="9" s="1"/>
  <c r="C900" i="9"/>
  <c r="F900" i="9" s="1"/>
  <c r="G900" i="9" s="1"/>
  <c r="C901" i="9"/>
  <c r="F901" i="9" s="1"/>
  <c r="G901" i="9" s="1"/>
  <c r="C902" i="9"/>
  <c r="F902" i="9" s="1"/>
  <c r="G902" i="9" s="1"/>
  <c r="C903" i="9"/>
  <c r="F903" i="9" s="1"/>
  <c r="G903" i="9" s="1"/>
  <c r="C904" i="9"/>
  <c r="F904" i="9" s="1"/>
  <c r="G904" i="9" s="1"/>
  <c r="C905" i="9"/>
  <c r="F905" i="9" s="1"/>
  <c r="G905" i="9" s="1"/>
  <c r="C906" i="9"/>
  <c r="F906" i="9" s="1"/>
  <c r="G906" i="9" s="1"/>
  <c r="C907" i="9"/>
  <c r="F907" i="9" s="1"/>
  <c r="G907" i="9" s="1"/>
  <c r="C908" i="9"/>
  <c r="F908" i="9" s="1"/>
  <c r="G908" i="9" s="1"/>
  <c r="C909" i="9"/>
  <c r="F909" i="9" s="1"/>
  <c r="G909" i="9" s="1"/>
  <c r="C910" i="9"/>
  <c r="F910" i="9" s="1"/>
  <c r="G910" i="9" s="1"/>
  <c r="C911" i="9"/>
  <c r="F911" i="9" s="1"/>
  <c r="G911" i="9" s="1"/>
  <c r="C912" i="9"/>
  <c r="F912" i="9" s="1"/>
  <c r="G912" i="9" s="1"/>
  <c r="C913" i="9"/>
  <c r="F913" i="9" s="1"/>
  <c r="G913" i="9" s="1"/>
  <c r="C914" i="9"/>
  <c r="F914" i="9" s="1"/>
  <c r="G914" i="9" s="1"/>
  <c r="C915" i="9"/>
  <c r="F915" i="9" s="1"/>
  <c r="G915" i="9" s="1"/>
  <c r="C10" i="9"/>
  <c r="F10" i="9" s="1"/>
  <c r="G10" i="9" s="1"/>
  <c r="C11" i="9"/>
  <c r="F11" i="9" s="1"/>
  <c r="G11" i="9" s="1"/>
  <c r="C12" i="9"/>
  <c r="F12" i="9" s="1"/>
  <c r="G12" i="9" s="1"/>
  <c r="C13" i="9"/>
  <c r="F13" i="9" s="1"/>
  <c r="G13" i="9" s="1"/>
  <c r="C14" i="9"/>
  <c r="F14" i="9" s="1"/>
  <c r="G14" i="9" s="1"/>
  <c r="C15" i="9"/>
  <c r="F15" i="9" s="1"/>
  <c r="G15" i="9" s="1"/>
  <c r="C16" i="9"/>
  <c r="F16" i="9" s="1"/>
  <c r="G16" i="9" s="1"/>
  <c r="C17" i="9"/>
  <c r="F17" i="9" s="1"/>
  <c r="G17" i="9" s="1"/>
  <c r="C18" i="9"/>
  <c r="F18" i="9" s="1"/>
  <c r="G18" i="9" s="1"/>
  <c r="C19" i="9"/>
  <c r="F19" i="9" s="1"/>
  <c r="G19" i="9" s="1"/>
  <c r="C20" i="9"/>
  <c r="F20" i="9" s="1"/>
  <c r="G20" i="9" s="1"/>
  <c r="C21" i="9"/>
  <c r="F21" i="9" s="1"/>
  <c r="G21" i="9" s="1"/>
  <c r="C22" i="9"/>
  <c r="F22" i="9" s="1"/>
  <c r="G22" i="9" s="1"/>
  <c r="C23" i="9"/>
  <c r="F23" i="9" s="1"/>
  <c r="G23" i="9" s="1"/>
  <c r="C24" i="9"/>
  <c r="F24" i="9" s="1"/>
  <c r="G24" i="9" s="1"/>
  <c r="C25" i="9"/>
  <c r="F25" i="9" s="1"/>
  <c r="G25" i="9" s="1"/>
  <c r="C26" i="9"/>
  <c r="F26" i="9" s="1"/>
  <c r="G26" i="9" s="1"/>
  <c r="C27" i="9"/>
  <c r="F27" i="9" s="1"/>
  <c r="G27" i="9" s="1"/>
  <c r="C28" i="9"/>
  <c r="F28" i="9" s="1"/>
  <c r="G28" i="9" s="1"/>
  <c r="C29" i="9"/>
  <c r="F29" i="9" s="1"/>
  <c r="G29" i="9" s="1"/>
  <c r="C30" i="9"/>
  <c r="F30" i="9" s="1"/>
  <c r="G30" i="9" s="1"/>
  <c r="C31" i="9"/>
  <c r="F31" i="9" s="1"/>
  <c r="G31" i="9" s="1"/>
  <c r="C32" i="9"/>
  <c r="F32" i="9" s="1"/>
  <c r="G32" i="9" s="1"/>
  <c r="C33" i="9"/>
  <c r="F33" i="9" s="1"/>
  <c r="G33" i="9" s="1"/>
  <c r="F34" i="9"/>
  <c r="G34" i="9" s="1"/>
  <c r="C35" i="9"/>
  <c r="F35" i="9" s="1"/>
  <c r="G35" i="9" s="1"/>
  <c r="C5" i="9"/>
  <c r="F5" i="9" s="1"/>
  <c r="C6" i="9"/>
  <c r="C7" i="9"/>
  <c r="F7" i="9" s="1"/>
  <c r="G7" i="9" s="1"/>
  <c r="C8" i="9"/>
  <c r="F8" i="9" s="1"/>
  <c r="G8" i="9" s="1"/>
  <c r="C9" i="9"/>
  <c r="F9" i="9" s="1"/>
  <c r="G9" i="9" s="1"/>
  <c r="C17" i="8"/>
  <c r="D17" i="8" s="1"/>
  <c r="C23" i="8"/>
  <c r="C22" i="8"/>
  <c r="C21" i="8"/>
  <c r="C20" i="8"/>
  <c r="C19" i="8"/>
  <c r="D19" i="8" s="1"/>
  <c r="C18" i="8"/>
  <c r="D18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C9" i="8"/>
  <c r="C8" i="8"/>
  <c r="D8" i="8" s="1"/>
  <c r="C7" i="8"/>
  <c r="D7" i="8" s="1"/>
  <c r="C6" i="8"/>
  <c r="D6" i="8" s="1"/>
  <c r="C5" i="8"/>
  <c r="D5" i="8" s="1"/>
  <c r="C4" i="8"/>
  <c r="C3" i="8"/>
  <c r="D3" i="8" s="1"/>
  <c r="G5" i="9" l="1"/>
  <c r="F6" i="9"/>
  <c r="C3" i="9"/>
  <c r="F3" i="9"/>
  <c r="I917" i="9"/>
  <c r="D23" i="8"/>
  <c r="D22" i="8"/>
  <c r="D4" i="8"/>
  <c r="D10" i="8"/>
  <c r="D9" i="8"/>
  <c r="D21" i="8"/>
  <c r="D20" i="8"/>
  <c r="B916" i="9"/>
  <c r="B104" i="1"/>
  <c r="B92" i="1"/>
  <c r="B74" i="1"/>
  <c r="G6" i="9" l="1"/>
  <c r="I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tc={998DD44B-3B18-4663-82D7-B1CBC85EBEE6}</author>
    <author>tc={0C6B0761-FC7D-441A-A2A9-24AD2BBB2780}</author>
    <author>tc={5510D9F5-2719-4C27-A59E-C647CB41AE6B}</author>
  </authors>
  <commentList>
    <comment ref="F4" authorId="0" shapeId="0" xr:uid="{998DD44B-3B18-4663-82D7-B1CBC85EBE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Foi colocado 1 hora de atendimento por jovem. 
</t>
      </text>
    </comment>
    <comment ref="G4" authorId="1" shapeId="0" xr:uid="{0C6B0761-FC7D-441A-A2A9-24AD2BBB278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Foi colocado 1 hora de atendimento por jovem. Ficando 3 horas de atendimento por jovem ao longo do contrato.
</t>
      </text>
    </comment>
    <comment ref="H4" authorId="2" shapeId="0" xr:uid="{5510D9F5-2719-4C27-A59E-C647CB41AE6B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Contabilizado 2 horas para atendimento ADM (Preparar documentos, Digitalização, subir no Balck).</t>
      </text>
    </comment>
  </commentList>
</comments>
</file>

<file path=xl/sharedStrings.xml><?xml version="1.0" encoding="utf-8"?>
<sst xmlns="http://schemas.openxmlformats.org/spreadsheetml/2006/main" count="1548" uniqueCount="142">
  <si>
    <t>Carga horária Deslocamento</t>
  </si>
  <si>
    <t>EXEMPLO</t>
  </si>
  <si>
    <t xml:space="preserve">Uept /Filial: </t>
  </si>
  <si>
    <t>27 </t>
  </si>
  <si>
    <t>TEPT:</t>
  </si>
  <si>
    <t xml:space="preserve">Código do evento: </t>
  </si>
  <si>
    <t>Observação:</t>
  </si>
  <si>
    <t xml:space="preserve">Supervisão da Prática Profissional </t>
  </si>
  <si>
    <t xml:space="preserve">DESLOCAMENTO DE IDA  </t>
  </si>
  <si>
    <t>HORÁRIOS</t>
  </si>
  <si>
    <t xml:space="preserve">SAÍDA </t>
  </si>
  <si>
    <t>CHEGADA</t>
  </si>
  <si>
    <t xml:space="preserve">Turma: </t>
  </si>
  <si>
    <t>CC</t>
  </si>
  <si>
    <t xml:space="preserve">DESLOCAMENTO DE IDA  - </t>
  </si>
  <si>
    <t>DESLOCAMENTO DE IDA  -</t>
  </si>
  <si>
    <t xml:space="preserve">DESLOCAMENTO DE IDA  -  </t>
  </si>
  <si>
    <t xml:space="preserve">DESLOCAMENTO DE VOLTA  - </t>
  </si>
  <si>
    <t> Carga horária Supervisão da Prática:</t>
  </si>
  <si>
    <t xml:space="preserve">HORAS ADMINISTRATIVAS  - SUPERVISÃO DA PRÁTICA </t>
  </si>
  <si>
    <t>HORÁRIOS  -</t>
  </si>
  <si>
    <t xml:space="preserve">INÍCIO </t>
  </si>
  <si>
    <t xml:space="preserve">TÉRMINO </t>
  </si>
  <si>
    <t xml:space="preserve">HORÁRIOS  - </t>
  </si>
  <si>
    <t xml:space="preserve">HORÁRIOS - </t>
  </si>
  <si>
    <t>202500867</t>
  </si>
  <si>
    <t>202500868</t>
  </si>
  <si>
    <t>202400988</t>
  </si>
  <si>
    <t xml:space="preserve">ENTRADA </t>
  </si>
  <si>
    <t xml:space="preserve">TOTAL </t>
  </si>
  <si>
    <t xml:space="preserve">TOTAL DE HORAS </t>
  </si>
  <si>
    <t xml:space="preserve">CAMPO DE PESQUISA  DIGITE ABAIXO A TURMA </t>
  </si>
  <si>
    <t xml:space="preserve">HORAS RESTANTES </t>
  </si>
  <si>
    <t xml:space="preserve">PESQUISAR TURMA </t>
  </si>
  <si>
    <t>TURMA</t>
  </si>
  <si>
    <t>TOTAL CIDADE</t>
  </si>
  <si>
    <t>TOTAL JOVENS</t>
  </si>
  <si>
    <t>CARGA HORÁRIA TOTAL</t>
  </si>
  <si>
    <t xml:space="preserve">CARGA HORÁRIA RESTANTE </t>
  </si>
  <si>
    <t>Turma</t>
  </si>
  <si>
    <t xml:space="preserve">Total de cidades por turma </t>
  </si>
  <si>
    <t xml:space="preserve">Total de jovens na turma </t>
  </si>
  <si>
    <t xml:space="preserve">Total de horas necessárias para atendimento </t>
  </si>
  <si>
    <t xml:space="preserve">Carga horária ADM, pós visitas </t>
  </si>
  <si>
    <t xml:space="preserve">Total de horas para os atendimentos por turma </t>
  </si>
  <si>
    <t>CARGA HORÁRIA TOTAL  + ADM</t>
  </si>
  <si>
    <t xml:space="preserve">Visto que no EAD não temos a possibilidade de estipular as 100 horas de forma fixa, a ideia de trazer uma quantidade de horas para atendimento por turma + horas administrativas que poderá se tornar mais viável. A carga horária para deslocamento não está contabilizada na planilha.  Será feita uma panilha de controle das visitas subtraindo o tempo de cada visita (rateio) da carga horária total de cada turma. </t>
  </si>
  <si>
    <t xml:space="preserve">Total de jovens </t>
  </si>
  <si>
    <t xml:space="preserve">Média de horas </t>
  </si>
  <si>
    <t xml:space="preserve">Total de turmas </t>
  </si>
  <si>
    <t>Total de cidades</t>
  </si>
  <si>
    <t xml:space="preserve">CONTROLE DE HORAS TOTAL PARA CADA TURMA E JOVENS DE ACORDO COM AS VISITAS REALIZADAS </t>
  </si>
  <si>
    <t>Alunos</t>
  </si>
  <si>
    <t>Horas por jovem (total)</t>
  </si>
  <si>
    <t>Horas por visita</t>
  </si>
  <si>
    <t xml:space="preserve">Dia da Visita </t>
  </si>
  <si>
    <t xml:space="preserve">Horários de término para atendimento na turma </t>
  </si>
  <si>
    <t>TOTAL</t>
  </si>
  <si>
    <t>Data</t>
  </si>
  <si>
    <t>Atividade</t>
  </si>
  <si>
    <t>Município</t>
  </si>
  <si>
    <t>Turmas</t>
  </si>
  <si>
    <t xml:space="preserve">cada turma </t>
  </si>
  <si>
    <t>Hora / Início  </t>
  </si>
  <si>
    <t>Hora / Término  </t>
  </si>
  <si>
    <t>Total de Horas</t>
  </si>
  <si>
    <t>Instrutor (a)</t>
  </si>
  <si>
    <t>Rascunho Planejam. viagem Pitanga, Sta. Maria e Palmital</t>
  </si>
  <si>
    <t>Pitanga</t>
  </si>
  <si>
    <t>202500119,202500121,202500030</t>
  </si>
  <si>
    <t>Michelly</t>
  </si>
  <si>
    <t>Reunião Dani e Michel, Kassi - Feedback e Alinhamentos.</t>
  </si>
  <si>
    <t>Senac</t>
  </si>
  <si>
    <t>Planejam. viagem Pitanga </t>
  </si>
  <si>
    <t>E-mail acerto de viagem Pitanga, envio de fotos e aprender a trabalhar com a impressora/scaner senac.</t>
  </si>
  <si>
    <t>Reunião Michel feedback viagem Pitanga e alinhamentos</t>
  </si>
  <si>
    <t>Continuação org. adm retorno viagem SPP Pitanga (Scanear, inserir formulários no blacboard, envio de e-mails feedback e orientações às empresas parceiras).</t>
  </si>
  <si>
    <t>Planejam. viagem Turvo e Boa Ventura</t>
  </si>
  <si>
    <t>Turvo e Boa Ventura</t>
  </si>
  <si>
    <t>202500120, 202400990, 202400988, 202500034, 202500357</t>
  </si>
  <si>
    <t>Org. adm retorno viagem SPP Turvo e Boa Ventura (Scanear, inserir formulários no blacboard, envio de e-mails feedback e orientações às empresas parceiras).</t>
  </si>
  <si>
    <t>Planejam. viagem Palmital (Previsto para 14/08/2025).</t>
  </si>
  <si>
    <t>Palmital e Sta Maria</t>
  </si>
  <si>
    <t>202500034, 202500030, 202500034, 202500298, 202500379</t>
  </si>
  <si>
    <t>Planejam. viagem Candói (Previsto para 12/08/2025).</t>
  </si>
  <si>
    <t>Candói</t>
  </si>
  <si>
    <t>202400990, 202500631, 202400989, 202400990, 202500631</t>
  </si>
  <si>
    <t>Impressão de materiais para viagens Candói, contatos com os supervisores das empresas</t>
  </si>
  <si>
    <t>Impressão de materiais para viagens Palmital e Sta Maria, contatos com os supervisores das empresas</t>
  </si>
  <si>
    <t>Org. adm retorno viagem SPP Candói (Scanear, inserir formulários no blacboard, envio de e-mails feedback e orientações às empresas parceiras).</t>
  </si>
  <si>
    <t>Planejam. viagem Cantagalo (19/08/2025)</t>
  </si>
  <si>
    <t>Cantagalo</t>
  </si>
  <si>
    <t>202500867, 202400988, 202500132, 202500631 </t>
  </si>
  <si>
    <t>Org. adm retorno viagem SPP Palmital e Sta Maria (Scanear, inserir formulários no blacboard, envio de e-mails feedback e orientações às empresas parceiras).</t>
  </si>
  <si>
    <t>Contatos Cantagalo, organização formulários e impressão</t>
  </si>
  <si>
    <t>Org. adm retorno viagem SPP Cantagalo (Scanear, inserir formulários no blackboard, envio de e-mails feedback e orientações às empresas parceiras).</t>
  </si>
  <si>
    <t>Planejam. viagem Laranjeiras e Virmond (02/08/2025)</t>
  </si>
  <si>
    <t>Laranjeiras e Virmond</t>
  </si>
  <si>
    <t>Planejam. viagem Goioxim (04/09/2025)</t>
  </si>
  <si>
    <t>Goioxim</t>
  </si>
  <si>
    <t>202500631, 202500132</t>
  </si>
  <si>
    <t xml:space="preserve">Minutos restantes </t>
  </si>
  <si>
    <t xml:space="preserve">Centro de Custos </t>
  </si>
  <si>
    <t>465306AGM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</si>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</sst>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"/>
      <family val="2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9C5700"/>
      <name val="Aptos Narrow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sz val="11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b/>
      <sz val="11"/>
      <color rgb="FF242424"/>
      <name val="Segoe UI"/>
      <family val="2"/>
    </font>
    <font>
      <b/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b/>
      <sz val="14"/>
      <color theme="1"/>
      <name val="Calibri"/>
      <family val="2"/>
    </font>
    <font>
      <b/>
      <sz val="14"/>
      <color rgb="FF242424"/>
      <name val="Calibri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4"/>
      <color theme="1"/>
      <name val="Calibri"/>
    </font>
    <font>
      <b/>
      <sz val="11"/>
      <color rgb="FF000000"/>
      <name val="Aptos"/>
    </font>
    <font>
      <b/>
      <sz val="11"/>
      <color rgb="FF000000"/>
      <name val="Aptos"/>
      <charset val="1"/>
    </font>
    <font>
      <b/>
      <sz val="14"/>
      <color rgb="FF000000"/>
      <name val="Aptos"/>
      <charset val="1"/>
    </font>
    <font>
      <b/>
      <sz val="11"/>
      <color rgb="FF000000"/>
      <name val="Aptos Narrow"/>
      <family val="2"/>
    </font>
    <font>
      <b/>
      <sz val="12"/>
      <color rgb="FF000000"/>
      <name val="Aptos"/>
      <charset val="1"/>
    </font>
    <font>
      <sz val="11"/>
      <color rgb="FF000000"/>
      <name val="Aptos Narrow"/>
      <family val="2"/>
    </font>
    <font>
      <sz val="12"/>
      <color rgb="FF000000"/>
      <name val="Aptos"/>
      <charset val="1"/>
    </font>
  </fonts>
  <fills count="3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EB9C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3CCEB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E284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4" fillId="0" borderId="9" xfId="0" applyFont="1" applyBorder="1"/>
    <xf numFmtId="0" fontId="5" fillId="0" borderId="8" xfId="0" applyFont="1" applyBorder="1" applyAlignment="1">
      <alignment horizontal="center"/>
    </xf>
    <xf numFmtId="0" fontId="4" fillId="6" borderId="9" xfId="0" applyFont="1" applyFill="1" applyBorder="1"/>
    <xf numFmtId="0" fontId="5" fillId="6" borderId="8" xfId="0" applyFont="1" applyFill="1" applyBorder="1" applyAlignment="1">
      <alignment horizontal="center"/>
    </xf>
    <xf numFmtId="0" fontId="4" fillId="7" borderId="9" xfId="0" applyFont="1" applyFill="1" applyBorder="1"/>
    <xf numFmtId="0" fontId="4" fillId="8" borderId="9" xfId="0" applyFont="1" applyFill="1" applyBorder="1"/>
    <xf numFmtId="0" fontId="6" fillId="0" borderId="0" xfId="0" applyFont="1"/>
    <xf numFmtId="0" fontId="4" fillId="0" borderId="10" xfId="0" applyFont="1" applyBorder="1"/>
    <xf numFmtId="0" fontId="4" fillId="9" borderId="11" xfId="0" applyFont="1" applyFill="1" applyBorder="1"/>
    <xf numFmtId="0" fontId="4" fillId="0" borderId="11" xfId="0" applyFont="1" applyBorder="1"/>
    <xf numFmtId="20" fontId="0" fillId="0" borderId="0" xfId="0" applyNumberFormat="1"/>
    <xf numFmtId="0" fontId="1" fillId="12" borderId="1" xfId="0" applyFont="1" applyFill="1" applyBorder="1" applyAlignment="1">
      <alignment horizontal="center"/>
    </xf>
    <xf numFmtId="0" fontId="4" fillId="9" borderId="1" xfId="0" applyFont="1" applyFill="1" applyBorder="1"/>
    <xf numFmtId="0" fontId="4" fillId="0" borderId="1" xfId="0" applyFont="1" applyBorder="1"/>
    <xf numFmtId="0" fontId="4" fillId="6" borderId="1" xfId="0" applyFont="1" applyFill="1" applyBorder="1"/>
    <xf numFmtId="0" fontId="0" fillId="0" borderId="1" xfId="0" applyBorder="1"/>
    <xf numFmtId="0" fontId="5" fillId="0" borderId="1" xfId="0" applyFont="1" applyBorder="1"/>
    <xf numFmtId="0" fontId="5" fillId="9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7" borderId="17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1" xfId="0" applyFont="1" applyBorder="1"/>
    <xf numFmtId="0" fontId="6" fillId="9" borderId="1" xfId="0" applyFont="1" applyFill="1" applyBorder="1"/>
    <xf numFmtId="0" fontId="4" fillId="9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4" borderId="12" xfId="0" applyFont="1" applyFill="1" applyBorder="1"/>
    <xf numFmtId="0" fontId="1" fillId="18" borderId="12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9" fillId="20" borderId="1" xfId="0" applyFont="1" applyFill="1" applyBorder="1" applyAlignment="1">
      <alignment horizontal="center"/>
    </xf>
    <xf numFmtId="164" fontId="9" fillId="20" borderId="1" xfId="0" applyNumberFormat="1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2" fillId="12" borderId="8" xfId="0" applyFont="1" applyFill="1" applyBorder="1" applyAlignment="1">
      <alignment horizontal="center" vertical="center"/>
    </xf>
    <xf numFmtId="0" fontId="10" fillId="22" borderId="0" xfId="0" applyFont="1" applyFill="1"/>
    <xf numFmtId="14" fontId="11" fillId="22" borderId="8" xfId="0" applyNumberFormat="1" applyFont="1" applyFill="1" applyBorder="1" applyAlignment="1">
      <alignment horizontal="center" vertical="center"/>
    </xf>
    <xf numFmtId="0" fontId="11" fillId="22" borderId="8" xfId="0" applyFont="1" applyFill="1" applyBorder="1" applyAlignment="1">
      <alignment horizontal="left" vertical="center"/>
    </xf>
    <xf numFmtId="0" fontId="11" fillId="22" borderId="8" xfId="0" applyFont="1" applyFill="1" applyBorder="1" applyAlignment="1">
      <alignment horizontal="center" vertical="center"/>
    </xf>
    <xf numFmtId="0" fontId="10" fillId="22" borderId="8" xfId="0" applyFont="1" applyFill="1" applyBorder="1" applyAlignment="1">
      <alignment horizontal="center" vertical="center"/>
    </xf>
    <xf numFmtId="20" fontId="11" fillId="22" borderId="8" xfId="0" applyNumberFormat="1" applyFont="1" applyFill="1" applyBorder="1" applyAlignment="1">
      <alignment horizontal="center" vertical="center"/>
    </xf>
    <xf numFmtId="0" fontId="11" fillId="22" borderId="17" xfId="0" applyFont="1" applyFill="1" applyBorder="1" applyAlignment="1">
      <alignment horizontal="center" vertical="center"/>
    </xf>
    <xf numFmtId="20" fontId="11" fillId="22" borderId="17" xfId="0" applyNumberFormat="1" applyFont="1" applyFill="1" applyBorder="1" applyAlignment="1">
      <alignment horizontal="center" vertical="center"/>
    </xf>
    <xf numFmtId="0" fontId="11" fillId="22" borderId="1" xfId="0" applyFont="1" applyFill="1" applyBorder="1" applyAlignment="1">
      <alignment horizontal="center" vertical="center"/>
    </xf>
    <xf numFmtId="20" fontId="14" fillId="22" borderId="8" xfId="0" applyNumberFormat="1" applyFont="1" applyFill="1" applyBorder="1" applyAlignment="1">
      <alignment horizontal="center" vertical="center"/>
    </xf>
    <xf numFmtId="20" fontId="14" fillId="22" borderId="17" xfId="0" applyNumberFormat="1" applyFont="1" applyFill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/>
    </xf>
    <xf numFmtId="20" fontId="14" fillId="22" borderId="10" xfId="0" applyNumberFormat="1" applyFont="1" applyFill="1" applyBorder="1" applyAlignment="1">
      <alignment horizontal="center" vertical="center"/>
    </xf>
    <xf numFmtId="20" fontId="14" fillId="22" borderId="20" xfId="0" applyNumberFormat="1" applyFont="1" applyFill="1" applyBorder="1" applyAlignment="1">
      <alignment horizontal="center" vertical="center"/>
    </xf>
    <xf numFmtId="20" fontId="15" fillId="0" borderId="2" xfId="0" applyNumberFormat="1" applyFont="1" applyBorder="1" applyAlignment="1">
      <alignment horizontal="center"/>
    </xf>
    <xf numFmtId="0" fontId="17" fillId="0" borderId="0" xfId="0" applyFont="1"/>
    <xf numFmtId="0" fontId="16" fillId="15" borderId="17" xfId="0" applyFont="1" applyFill="1" applyBorder="1" applyAlignment="1">
      <alignment horizontal="center" wrapText="1"/>
    </xf>
    <xf numFmtId="0" fontId="8" fillId="15" borderId="17" xfId="0" applyFont="1" applyFill="1" applyBorder="1" applyAlignment="1">
      <alignment horizontal="center" wrapText="1"/>
    </xf>
    <xf numFmtId="0" fontId="5" fillId="15" borderId="20" xfId="0" applyFont="1" applyFill="1" applyBorder="1" applyAlignment="1">
      <alignment horizontal="center" wrapText="1"/>
    </xf>
    <xf numFmtId="0" fontId="16" fillId="16" borderId="1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20" fontId="7" fillId="10" borderId="1" xfId="0" applyNumberFormat="1" applyFont="1" applyFill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15" borderId="24" xfId="0" applyFont="1" applyFill="1" applyBorder="1" applyAlignment="1">
      <alignment horizontal="center" wrapText="1"/>
    </xf>
    <xf numFmtId="0" fontId="16" fillId="16" borderId="1" xfId="0" applyFont="1" applyFill="1" applyBorder="1" applyAlignment="1">
      <alignment horizontal="left"/>
    </xf>
    <xf numFmtId="20" fontId="13" fillId="22" borderId="8" xfId="0" applyNumberFormat="1" applyFont="1" applyFill="1" applyBorder="1" applyAlignment="1">
      <alignment horizontal="center" vertical="center"/>
    </xf>
    <xf numFmtId="0" fontId="12" fillId="22" borderId="0" xfId="0" applyFont="1" applyFill="1" applyAlignment="1">
      <alignment vertical="center"/>
    </xf>
    <xf numFmtId="0" fontId="12" fillId="12" borderId="10" xfId="0" applyFont="1" applyFill="1" applyBorder="1" applyAlignment="1">
      <alignment horizontal="center" vertical="center"/>
    </xf>
    <xf numFmtId="0" fontId="11" fillId="22" borderId="10" xfId="0" applyFont="1" applyFill="1" applyBorder="1" applyAlignment="1">
      <alignment horizontal="center" vertical="center"/>
    </xf>
    <xf numFmtId="0" fontId="11" fillId="22" borderId="20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horizontal="center" vertical="center"/>
    </xf>
    <xf numFmtId="0" fontId="14" fillId="22" borderId="19" xfId="0" applyFont="1" applyFill="1" applyBorder="1" applyAlignment="1">
      <alignment horizontal="left" vertical="center"/>
    </xf>
    <xf numFmtId="0" fontId="16" fillId="16" borderId="3" xfId="0" applyFont="1" applyFill="1" applyBorder="1" applyAlignment="1">
      <alignment horizontal="left"/>
    </xf>
    <xf numFmtId="0" fontId="14" fillId="21" borderId="19" xfId="0" applyFont="1" applyFill="1" applyBorder="1" applyAlignment="1">
      <alignment horizontal="left" vertical="center"/>
    </xf>
    <xf numFmtId="0" fontId="14" fillId="21" borderId="24" xfId="0" applyFont="1" applyFill="1" applyBorder="1" applyAlignment="1">
      <alignment horizontal="left" vertical="center"/>
    </xf>
    <xf numFmtId="20" fontId="13" fillId="22" borderId="1" xfId="0" applyNumberFormat="1" applyFont="1" applyFill="1" applyBorder="1" applyAlignment="1">
      <alignment horizontal="center"/>
    </xf>
    <xf numFmtId="20" fontId="13" fillId="12" borderId="1" xfId="0" applyNumberFormat="1" applyFont="1" applyFill="1" applyBorder="1" applyAlignment="1">
      <alignment horizontal="center"/>
    </xf>
    <xf numFmtId="0" fontId="18" fillId="24" borderId="0" xfId="0" applyFont="1" applyFill="1"/>
    <xf numFmtId="0" fontId="18" fillId="20" borderId="1" xfId="0" applyFont="1" applyFill="1" applyBorder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0" borderId="1" xfId="0" applyFont="1" applyBorder="1"/>
    <xf numFmtId="20" fontId="18" fillId="0" borderId="1" xfId="0" applyNumberFormat="1" applyFont="1" applyBorder="1"/>
    <xf numFmtId="0" fontId="18" fillId="0" borderId="0" xfId="0" applyFont="1"/>
    <xf numFmtId="0" fontId="9" fillId="20" borderId="0" xfId="0" applyFont="1" applyFill="1" applyAlignment="1">
      <alignment horizontal="center"/>
    </xf>
    <xf numFmtId="164" fontId="9" fillId="20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18" fillId="0" borderId="1" xfId="0" applyNumberFormat="1" applyFont="1" applyBorder="1"/>
    <xf numFmtId="164" fontId="18" fillId="20" borderId="1" xfId="0" applyNumberFormat="1" applyFont="1" applyFill="1" applyBorder="1" applyAlignment="1">
      <alignment horizontal="center" vertical="center"/>
    </xf>
    <xf numFmtId="164" fontId="18" fillId="0" borderId="0" xfId="0" applyNumberFormat="1" applyFont="1"/>
    <xf numFmtId="164" fontId="18" fillId="12" borderId="1" xfId="0" applyNumberFormat="1" applyFont="1" applyFill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64" fontId="20" fillId="28" borderId="1" xfId="0" applyNumberFormat="1" applyFont="1" applyFill="1" applyBorder="1" applyAlignment="1">
      <alignment horizontal="center"/>
    </xf>
    <xf numFmtId="164" fontId="20" fillId="29" borderId="1" xfId="0" applyNumberFormat="1" applyFont="1" applyFill="1" applyBorder="1" applyAlignment="1">
      <alignment horizontal="center"/>
    </xf>
    <xf numFmtId="0" fontId="20" fillId="26" borderId="1" xfId="0" applyFont="1" applyFill="1" applyBorder="1" applyAlignment="1">
      <alignment horizontal="center"/>
    </xf>
    <xf numFmtId="0" fontId="20" fillId="27" borderId="1" xfId="0" applyFont="1" applyFill="1" applyBorder="1" applyAlignment="1">
      <alignment horizontal="center"/>
    </xf>
    <xf numFmtId="164" fontId="21" fillId="30" borderId="1" xfId="0" applyNumberFormat="1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/>
    </xf>
    <xf numFmtId="0" fontId="1" fillId="31" borderId="25" xfId="0" applyFont="1" applyFill="1" applyBorder="1" applyAlignment="1">
      <alignment horizontal="center"/>
    </xf>
    <xf numFmtId="164" fontId="18" fillId="32" borderId="1" xfId="0" applyNumberFormat="1" applyFont="1" applyFill="1" applyBorder="1" applyAlignment="1">
      <alignment horizontal="center"/>
    </xf>
    <xf numFmtId="164" fontId="19" fillId="32" borderId="1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20" borderId="2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/>
    </xf>
    <xf numFmtId="20" fontId="20" fillId="21" borderId="2" xfId="0" applyNumberFormat="1" applyFont="1" applyFill="1" applyBorder="1" applyAlignment="1">
      <alignment horizontal="center"/>
    </xf>
    <xf numFmtId="20" fontId="20" fillId="21" borderId="8" xfId="0" applyNumberFormat="1" applyFont="1" applyFill="1" applyBorder="1" applyAlignment="1">
      <alignment horizontal="center"/>
    </xf>
    <xf numFmtId="20" fontId="22" fillId="0" borderId="1" xfId="0" applyNumberFormat="1" applyFont="1" applyBorder="1" applyAlignment="1">
      <alignment horizontal="center"/>
    </xf>
    <xf numFmtId="0" fontId="18" fillId="20" borderId="1" xfId="0" applyFont="1" applyFill="1" applyBorder="1" applyAlignment="1">
      <alignment vertical="center"/>
    </xf>
    <xf numFmtId="20" fontId="23" fillId="0" borderId="1" xfId="0" applyNumberFormat="1" applyFont="1" applyBorder="1" applyAlignment="1">
      <alignment horizontal="center"/>
    </xf>
    <xf numFmtId="20" fontId="23" fillId="21" borderId="1" xfId="0" applyNumberFormat="1" applyFont="1" applyFill="1" applyBorder="1" applyAlignment="1">
      <alignment horizontal="center"/>
    </xf>
    <xf numFmtId="20" fontId="18" fillId="0" borderId="1" xfId="0" applyNumberFormat="1" applyFont="1" applyBorder="1" applyAlignment="1">
      <alignment horizontal="center"/>
    </xf>
    <xf numFmtId="0" fontId="1" fillId="21" borderId="4" xfId="0" applyFont="1" applyFill="1" applyBorder="1" applyAlignment="1">
      <alignment horizontal="left"/>
    </xf>
    <xf numFmtId="0" fontId="1" fillId="0" borderId="8" xfId="0" applyFont="1" applyBorder="1"/>
    <xf numFmtId="20" fontId="20" fillId="0" borderId="1" xfId="0" applyNumberFormat="1" applyFont="1" applyBorder="1" applyAlignment="1">
      <alignment horizontal="center"/>
    </xf>
    <xf numFmtId="20" fontId="20" fillId="21" borderId="14" xfId="0" applyNumberFormat="1" applyFont="1" applyFill="1" applyBorder="1" applyAlignment="1">
      <alignment horizontal="center"/>
    </xf>
    <xf numFmtId="20" fontId="1" fillId="0" borderId="8" xfId="0" applyNumberFormat="1" applyFont="1" applyBorder="1" applyAlignment="1">
      <alignment horizontal="center"/>
    </xf>
    <xf numFmtId="20" fontId="25" fillId="0" borderId="0" xfId="0" applyNumberFormat="1" applyFont="1"/>
    <xf numFmtId="0" fontId="5" fillId="0" borderId="2" xfId="0" applyFont="1" applyBorder="1" applyAlignment="1">
      <alignment horizontal="left"/>
    </xf>
    <xf numFmtId="0" fontId="5" fillId="20" borderId="8" xfId="0" applyFont="1" applyFill="1" applyBorder="1" applyAlignment="1">
      <alignment horizontal="left"/>
    </xf>
    <xf numFmtId="0" fontId="1" fillId="20" borderId="8" xfId="0" applyFont="1" applyFill="1" applyBorder="1" applyAlignment="1">
      <alignment horizontal="center"/>
    </xf>
    <xf numFmtId="20" fontId="25" fillId="0" borderId="8" xfId="0" applyNumberFormat="1" applyFont="1" applyBorder="1"/>
    <xf numFmtId="164" fontId="18" fillId="32" borderId="2" xfId="0" applyNumberFormat="1" applyFont="1" applyFill="1" applyBorder="1" applyAlignment="1">
      <alignment horizontal="center"/>
    </xf>
    <xf numFmtId="164" fontId="18" fillId="32" borderId="3" xfId="0" applyNumberFormat="1" applyFont="1" applyFill="1" applyBorder="1" applyAlignment="1">
      <alignment horizontal="center"/>
    </xf>
    <xf numFmtId="0" fontId="18" fillId="0" borderId="26" xfId="0" applyFont="1" applyBorder="1"/>
    <xf numFmtId="0" fontId="18" fillId="0" borderId="12" xfId="0" applyFont="1" applyBorder="1"/>
    <xf numFmtId="0" fontId="1" fillId="0" borderId="8" xfId="0" applyFont="1" applyBorder="1" applyAlignment="1">
      <alignment horizontal="center"/>
    </xf>
    <xf numFmtId="20" fontId="1" fillId="0" borderId="10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0" fontId="26" fillId="0" borderId="8" xfId="0" applyNumberFormat="1" applyFont="1" applyBorder="1" applyAlignment="1">
      <alignment horizontal="center"/>
    </xf>
    <xf numFmtId="0" fontId="4" fillId="9" borderId="8" xfId="0" applyFont="1" applyFill="1" applyBorder="1"/>
    <xf numFmtId="0" fontId="0" fillId="0" borderId="8" xfId="0" applyBorder="1"/>
    <xf numFmtId="0" fontId="4" fillId="0" borderId="27" xfId="0" applyFont="1" applyBorder="1"/>
    <xf numFmtId="0" fontId="5" fillId="0" borderId="17" xfId="0" applyFont="1" applyBorder="1" applyAlignment="1">
      <alignment horizontal="center"/>
    </xf>
    <xf numFmtId="20" fontId="18" fillId="0" borderId="12" xfId="0" applyNumberFormat="1" applyFont="1" applyBorder="1"/>
    <xf numFmtId="20" fontId="18" fillId="0" borderId="0" xfId="0" applyNumberFormat="1" applyFont="1"/>
    <xf numFmtId="0" fontId="0" fillId="21" borderId="8" xfId="0" applyFill="1" applyBorder="1"/>
    <xf numFmtId="0" fontId="5" fillId="0" borderId="10" xfId="0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1" fillId="20" borderId="8" xfId="0" applyFont="1" applyFill="1" applyBorder="1" applyAlignment="1">
      <alignment horizontal="left"/>
    </xf>
    <xf numFmtId="20" fontId="1" fillId="0" borderId="8" xfId="0" applyNumberFormat="1" applyFont="1" applyBorder="1" applyAlignment="1">
      <alignment horizontal="left"/>
    </xf>
    <xf numFmtId="0" fontId="29" fillId="21" borderId="8" xfId="0" applyFont="1" applyFill="1" applyBorder="1"/>
    <xf numFmtId="20" fontId="1" fillId="0" borderId="17" xfId="0" applyNumberFormat="1" applyFont="1" applyBorder="1" applyAlignment="1">
      <alignment horizontal="center"/>
    </xf>
    <xf numFmtId="0" fontId="5" fillId="0" borderId="28" xfId="0" applyFont="1" applyBorder="1" applyAlignment="1">
      <alignment horizontal="left"/>
    </xf>
    <xf numFmtId="0" fontId="30" fillId="0" borderId="0" xfId="0" applyFont="1"/>
    <xf numFmtId="20" fontId="30" fillId="0" borderId="8" xfId="0" applyNumberFormat="1" applyFont="1" applyBorder="1"/>
    <xf numFmtId="0" fontId="1" fillId="3" borderId="8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28" fillId="0" borderId="8" xfId="0" applyFont="1" applyBorder="1" applyAlignment="1">
      <alignment horizontal="left"/>
    </xf>
    <xf numFmtId="0" fontId="27" fillId="0" borderId="8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30" fillId="0" borderId="8" xfId="0" applyFont="1" applyBorder="1"/>
    <xf numFmtId="20" fontId="1" fillId="0" borderId="8" xfId="0" applyNumberFormat="1" applyFont="1" applyBorder="1"/>
    <xf numFmtId="0" fontId="1" fillId="0" borderId="8" xfId="0" applyFont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9" fillId="13" borderId="8" xfId="0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24" fillId="13" borderId="8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0" fontId="2" fillId="13" borderId="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16" fillId="23" borderId="1" xfId="0" applyFont="1" applyFill="1" applyBorder="1" applyAlignment="1">
      <alignment horizontal="center"/>
    </xf>
    <xf numFmtId="164" fontId="18" fillId="12" borderId="1" xfId="0" applyNumberFormat="1" applyFont="1" applyFill="1" applyBorder="1" applyAlignment="1">
      <alignment horizontal="center"/>
    </xf>
    <xf numFmtId="164" fontId="16" fillId="23" borderId="1" xfId="0" quotePrefix="1" applyNumberFormat="1" applyFont="1" applyFill="1" applyBorder="1" applyAlignment="1">
      <alignment horizontal="center"/>
    </xf>
    <xf numFmtId="164" fontId="16" fillId="23" borderId="1" xfId="0" applyNumberFormat="1" applyFont="1" applyFill="1" applyBorder="1" applyAlignment="1">
      <alignment horizontal="center"/>
    </xf>
    <xf numFmtId="0" fontId="20" fillId="2" borderId="15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164" fontId="20" fillId="30" borderId="2" xfId="0" applyNumberFormat="1" applyFont="1" applyFill="1" applyBorder="1" applyAlignment="1">
      <alignment horizontal="center"/>
    </xf>
    <xf numFmtId="164" fontId="20" fillId="30" borderId="3" xfId="0" applyNumberFormat="1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1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/>
    </xf>
    <xf numFmtId="0" fontId="1" fillId="18" borderId="1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5" fillId="14" borderId="22" xfId="0" applyFont="1" applyFill="1" applyBorder="1" applyAlignment="1">
      <alignment horizontal="center"/>
    </xf>
    <xf numFmtId="0" fontId="5" fillId="14" borderId="7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164" fontId="18" fillId="12" borderId="1" xfId="0" applyNumberFormat="1" applyFont="1" applyFill="1" applyBorder="1" applyAlignment="1"/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66675</xdr:rowOff>
    </xdr:from>
    <xdr:to>
      <xdr:col>10</xdr:col>
      <xdr:colOff>533400</xdr:colOff>
      <xdr:row>38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166E05-C869-F425-0A19-ABC29D87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266700"/>
          <a:ext cx="4991100" cy="7067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5</xdr:row>
      <xdr:rowOff>685800</xdr:rowOff>
    </xdr:from>
    <xdr:to>
      <xdr:col>0</xdr:col>
      <xdr:colOff>1295400</xdr:colOff>
      <xdr:row>5</xdr:row>
      <xdr:rowOff>914400</xdr:rowOff>
    </xdr:to>
    <xdr:sp macro="" textlink="">
      <xdr:nvSpPr>
        <xdr:cNvPr id="2" name="Seta: para Baixo 1">
          <a:extLst>
            <a:ext uri="{FF2B5EF4-FFF2-40B4-BE49-F238E27FC236}">
              <a16:creationId xmlns:a16="http://schemas.microsoft.com/office/drawing/2014/main" id="{3A17F816-488C-9A90-7D63-E83EEB9747E4}"/>
            </a:ext>
          </a:extLst>
        </xdr:cNvPr>
        <xdr:cNvSpPr/>
      </xdr:nvSpPr>
      <xdr:spPr>
        <a:xfrm>
          <a:off x="1143000" y="1809750"/>
          <a:ext cx="152400" cy="2286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DAA26BB8-66C6-44B2-9011-8C2CFEB22B78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900CD5-8084-42B5-BAB3-E31265AE4515}" name="Tabela1" displayName="Tabela1" ref="A4:C915" totalsRowShown="0" headerRowDxfId="14" dataDxfId="13" headerRowBorderDxfId="11" tableBorderDxfId="12">
  <tableColumns count="3">
    <tableColumn id="1" xr3:uid="{FB270F19-A743-41C7-93B9-706FF79AF999}" name="Turma" dataDxfId="10"/>
    <tableColumn id="3" xr3:uid="{D60891C7-AB13-4050-AF5C-CBFAD59CB315}" name="Total de cidades por turma " dataDxfId="9"/>
    <tableColumn id="2" xr3:uid="{A20C6F8F-DD49-4EAA-A948-96A2853387D1}" name="Total de jovens na turma " dataDxfId="8">
      <calculatedColumnFormula>VLOOKUP(A5,D:E,2,0)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0182AE-4B67-46CD-81F5-8522263CB464}" name="Tabela3" displayName="Tabela3" ref="G4:K35" totalsRowShown="0" headerRowBorderDxfId="6" tableBorderDxfId="7" totalsRowBorderDxfId="5">
  <autoFilter ref="G4:K35" xr:uid="{360182AE-4B67-46CD-81F5-8522263CB464}"/>
  <tableColumns count="5">
    <tableColumn id="1" xr3:uid="{A862AB53-C09E-47EE-A1CF-158A4A8CC3D9}" name="Total de horas necessárias para atendimento " dataDxfId="4">
      <calculatedColumnFormula>F5/24</calculatedColumnFormula>
    </tableColumn>
    <tableColumn id="2" xr3:uid="{BE573E50-4536-4337-8FED-B4ECD2E1AA80}" name="Carga horária ADM, pós visitas " dataDxfId="3">
      <calculatedColumnFormula>6/24</calculatedColumnFormula>
    </tableColumn>
    <tableColumn id="3" xr3:uid="{167C546A-E3B5-494B-9969-0D683CF83E4B}" name="Total de horas para os atendimentos por turma " dataDxfId="2"/>
    <tableColumn id="4" xr3:uid="{F3AAFA13-A087-4CDA-8308-3F6E32AE6D22}" name="CARGA HORÁRIA TOTAL  + ADM" dataDxfId="1"/>
    <tableColumn id="5" xr3:uid="{1C55457B-E8AF-4ACD-814F-C65256AE78D2}" name="CARGA HORÁRIA RESTANTE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8-19T18:40:38.06" personId="{DAA26BB8-66C6-44B2-9011-8C2CFEB22B78}" id="{998DD44B-3B18-4663-82D7-B1CBC85EBEE6}">
    <text xml:space="preserve">Foi colocado 1 hora de atendimento por jovem. 
</text>
  </threadedComment>
  <threadedComment ref="G4" dT="2025-08-19T18:40:38.06" personId="{DAA26BB8-66C6-44B2-9011-8C2CFEB22B78}" id="{0C6B0761-FC7D-441A-A2A9-24AD2BBB2780}">
    <text xml:space="preserve">Foi colocado 1 hora de atendimento por jovem. Ficando 3 horas de atendimento por jovem ao longo do contrato.
</text>
  </threadedComment>
  <threadedComment ref="H4" dT="2025-08-19T19:43:07.79" personId="{DAA26BB8-66C6-44B2-9011-8C2CFEB22B78}" id="{5510D9F5-2719-4C27-A59E-C647CB41AE6B}">
    <text>Contabilizado 2 horas para atendimento ADM (Preparar documentos, Digitalização, subir no Balck).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AF91-B0D2-4AF8-95F3-9F1DDF44A7A1}">
  <sheetPr codeName="Planilha1">
    <tabColor theme="4"/>
  </sheetPr>
  <dimension ref="A1:BE134"/>
  <sheetViews>
    <sheetView showGridLines="0" zoomScale="115" zoomScaleNormal="115" workbookViewId="0">
      <selection activeCell="B11" sqref="B11"/>
    </sheetView>
  </sheetViews>
  <sheetFormatPr defaultRowHeight="15"/>
  <cols>
    <col min="1" max="1" width="18.140625" style="145" bestFit="1" customWidth="1"/>
    <col min="2" max="2" width="55.5703125" style="161" bestFit="1" customWidth="1"/>
  </cols>
  <sheetData>
    <row r="1" spans="1:57" ht="15.75">
      <c r="A1" s="174" t="s">
        <v>0</v>
      </c>
      <c r="B1" s="174"/>
      <c r="D1" s="172" t="s">
        <v>1</v>
      </c>
      <c r="E1" s="172"/>
      <c r="F1" s="172"/>
      <c r="G1" s="172"/>
      <c r="H1" s="172"/>
      <c r="I1" s="172"/>
      <c r="J1" s="172"/>
    </row>
    <row r="2" spans="1:57">
      <c r="A2" s="127" t="s">
        <v>2</v>
      </c>
      <c r="B2" s="116" t="s">
        <v>3</v>
      </c>
    </row>
    <row r="3" spans="1:57">
      <c r="A3" s="127" t="s">
        <v>4</v>
      </c>
      <c r="B3" s="116">
        <v>5956</v>
      </c>
    </row>
    <row r="4" spans="1:57">
      <c r="A4" s="127" t="s">
        <v>5</v>
      </c>
      <c r="B4" s="116">
        <v>3</v>
      </c>
    </row>
    <row r="5" spans="1:57">
      <c r="A5" s="127" t="s">
        <v>6</v>
      </c>
      <c r="B5" s="116" t="s">
        <v>7</v>
      </c>
    </row>
    <row r="6" spans="1:57">
      <c r="A6" s="173"/>
      <c r="B6" s="173"/>
    </row>
    <row r="7" spans="1:57">
      <c r="A7" s="169" t="s">
        <v>8</v>
      </c>
      <c r="B7" s="169"/>
    </row>
    <row r="8" spans="1:57">
      <c r="A8" s="167" t="s">
        <v>9</v>
      </c>
      <c r="B8" s="167"/>
    </row>
    <row r="9" spans="1:57">
      <c r="A9" s="134" t="s">
        <v>10</v>
      </c>
      <c r="B9" s="134" t="s">
        <v>11</v>
      </c>
      <c r="M9" s="16"/>
    </row>
    <row r="10" spans="1:57" ht="15.75">
      <c r="A10" s="159"/>
      <c r="B10" s="159"/>
      <c r="M10" s="16"/>
    </row>
    <row r="11" spans="1:57" ht="15.75">
      <c r="A11" s="116" t="s">
        <v>12</v>
      </c>
      <c r="B11" s="165"/>
      <c r="M11" s="16"/>
    </row>
    <row r="12" spans="1:57">
      <c r="A12" s="116" t="s">
        <v>13</v>
      </c>
      <c r="B12" s="116" t="str">
        <f>IFERROR(VLOOKUP(B11,CC!A:B,2,0),"")</f>
        <v/>
      </c>
      <c r="M12" s="16"/>
    </row>
    <row r="13" spans="1:57">
      <c r="A13" s="176"/>
      <c r="B13" s="176"/>
      <c r="M13" s="16"/>
    </row>
    <row r="14" spans="1:57" s="126" customFormat="1" ht="14.25" customHeight="1">
      <c r="A14" s="169" t="s">
        <v>14</v>
      </c>
      <c r="B14" s="169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26" customFormat="1">
      <c r="A15" s="167" t="s">
        <v>9</v>
      </c>
      <c r="B15" s="167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26" customFormat="1">
      <c r="A16" s="134" t="s">
        <v>10</v>
      </c>
      <c r="B16" s="153" t="s">
        <v>11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26" customFormat="1" ht="15.75">
      <c r="A17" s="159"/>
      <c r="B17" s="159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ht="15.75">
      <c r="A18" s="116" t="s">
        <v>12</v>
      </c>
      <c r="B18" s="165"/>
    </row>
    <row r="19" spans="1:57">
      <c r="A19" s="116" t="s">
        <v>13</v>
      </c>
      <c r="B19" s="116" t="str">
        <f>IFERROR(VLOOKUP(B18,CC!A:B,2,0),"")</f>
        <v/>
      </c>
    </row>
    <row r="20" spans="1:57">
      <c r="A20" s="160"/>
      <c r="B20" s="160"/>
    </row>
    <row r="21" spans="1:57">
      <c r="A21" s="169" t="s">
        <v>15</v>
      </c>
      <c r="B21" s="169"/>
    </row>
    <row r="22" spans="1:57">
      <c r="A22" s="167" t="s">
        <v>9</v>
      </c>
      <c r="B22" s="167"/>
    </row>
    <row r="23" spans="1:57">
      <c r="A23" s="134" t="s">
        <v>10</v>
      </c>
      <c r="B23" s="153" t="s">
        <v>11</v>
      </c>
    </row>
    <row r="24" spans="1:57" ht="15.75">
      <c r="A24" s="159"/>
      <c r="B24" s="159"/>
    </row>
    <row r="25" spans="1:57" ht="15.75">
      <c r="A25" s="116" t="s">
        <v>12</v>
      </c>
      <c r="B25" s="165"/>
    </row>
    <row r="26" spans="1:57">
      <c r="A26" s="116" t="s">
        <v>13</v>
      </c>
      <c r="B26" s="116" t="str">
        <f>IFERROR(VLOOKUP(B25,CC!A:B,2,0),"")</f>
        <v/>
      </c>
    </row>
    <row r="27" spans="1:57">
      <c r="A27" s="160"/>
      <c r="B27" s="160"/>
    </row>
    <row r="28" spans="1:57">
      <c r="A28" s="169"/>
      <c r="B28" s="169"/>
    </row>
    <row r="29" spans="1:57">
      <c r="A29" s="167" t="s">
        <v>9</v>
      </c>
      <c r="B29" s="167"/>
    </row>
    <row r="30" spans="1:57">
      <c r="A30" s="134" t="s">
        <v>10</v>
      </c>
      <c r="B30" s="153" t="s">
        <v>11</v>
      </c>
    </row>
    <row r="31" spans="1:57" ht="15.75">
      <c r="A31" s="159"/>
      <c r="B31" s="159"/>
    </row>
    <row r="32" spans="1:57" ht="15.75">
      <c r="A32" s="116" t="s">
        <v>12</v>
      </c>
      <c r="B32" s="165"/>
    </row>
    <row r="33" spans="1:2">
      <c r="A33" s="116" t="s">
        <v>13</v>
      </c>
      <c r="B33" s="116" t="str">
        <f>IFERROR(VLOOKUP(B32,CC!A:B,2,0),"")</f>
        <v/>
      </c>
    </row>
    <row r="34" spans="1:2">
      <c r="A34" s="160"/>
      <c r="B34" s="160"/>
    </row>
    <row r="35" spans="1:2">
      <c r="A35" s="169" t="s">
        <v>14</v>
      </c>
      <c r="B35" s="169"/>
    </row>
    <row r="36" spans="1:2">
      <c r="A36" s="167" t="s">
        <v>9</v>
      </c>
      <c r="B36" s="167"/>
    </row>
    <row r="37" spans="1:2">
      <c r="A37" s="134" t="s">
        <v>10</v>
      </c>
      <c r="B37" s="153" t="s">
        <v>11</v>
      </c>
    </row>
    <row r="38" spans="1:2" ht="15.75">
      <c r="A38" s="159"/>
      <c r="B38" s="159"/>
    </row>
    <row r="39" spans="1:2" ht="15.75">
      <c r="A39" s="116" t="s">
        <v>12</v>
      </c>
      <c r="B39" s="165"/>
    </row>
    <row r="40" spans="1:2">
      <c r="A40" s="116" t="s">
        <v>13</v>
      </c>
      <c r="B40" s="116" t="str">
        <f>IFERROR(VLOOKUP(B39,CC!A:B,2,0),"")</f>
        <v/>
      </c>
    </row>
    <row r="41" spans="1:2">
      <c r="A41" s="160"/>
      <c r="B41" s="160"/>
    </row>
    <row r="42" spans="1:2">
      <c r="A42" s="169" t="s">
        <v>14</v>
      </c>
      <c r="B42" s="169"/>
    </row>
    <row r="43" spans="1:2" s="118" customFormat="1">
      <c r="A43" s="167" t="s">
        <v>9</v>
      </c>
      <c r="B43" s="167"/>
    </row>
    <row r="44" spans="1:2">
      <c r="A44" s="134" t="s">
        <v>10</v>
      </c>
      <c r="B44" s="153" t="s">
        <v>11</v>
      </c>
    </row>
    <row r="45" spans="1:2" ht="15.75">
      <c r="A45" s="159"/>
      <c r="B45" s="159"/>
    </row>
    <row r="46" spans="1:2" s="118" customFormat="1" ht="15.75">
      <c r="A46" s="116" t="s">
        <v>12</v>
      </c>
      <c r="B46" s="165"/>
    </row>
    <row r="47" spans="1:2">
      <c r="A47" s="116" t="s">
        <v>13</v>
      </c>
      <c r="B47" s="116" t="str">
        <f>IFERROR(VLOOKUP(B46,CC!A:B,2,0),"")</f>
        <v/>
      </c>
    </row>
    <row r="48" spans="1:2">
      <c r="A48" s="160"/>
      <c r="B48" s="160"/>
    </row>
    <row r="49" spans="1:2" s="118" customFormat="1">
      <c r="A49" s="169" t="s">
        <v>15</v>
      </c>
      <c r="B49" s="169"/>
    </row>
    <row r="50" spans="1:2">
      <c r="A50" s="167" t="s">
        <v>9</v>
      </c>
      <c r="B50" s="167"/>
    </row>
    <row r="51" spans="1:2">
      <c r="A51" s="134" t="s">
        <v>10</v>
      </c>
      <c r="B51" s="153" t="s">
        <v>11</v>
      </c>
    </row>
    <row r="52" spans="1:2" s="118" customFormat="1">
      <c r="A52" s="130"/>
      <c r="B52" s="154"/>
    </row>
    <row r="53" spans="1:2">
      <c r="A53" s="116" t="s">
        <v>12</v>
      </c>
    </row>
    <row r="54" spans="1:2">
      <c r="A54" s="116" t="s">
        <v>13</v>
      </c>
      <c r="B54" s="116" t="str">
        <f>IFERROR(VLOOKUP(B53,CC!A:B,2,0),"")</f>
        <v/>
      </c>
    </row>
    <row r="55" spans="1:2" s="118" customFormat="1">
      <c r="A55" s="160"/>
      <c r="B55" s="160"/>
    </row>
    <row r="56" spans="1:2">
      <c r="A56" s="169" t="s">
        <v>14</v>
      </c>
      <c r="B56" s="169"/>
    </row>
    <row r="57" spans="1:2">
      <c r="A57" s="167" t="s">
        <v>9</v>
      </c>
      <c r="B57" s="167"/>
    </row>
    <row r="58" spans="1:2" s="118" customFormat="1">
      <c r="A58" s="134" t="s">
        <v>10</v>
      </c>
      <c r="B58" s="153" t="s">
        <v>11</v>
      </c>
    </row>
    <row r="59" spans="1:2">
      <c r="A59" s="130"/>
      <c r="B59" s="154"/>
    </row>
    <row r="60" spans="1:2" ht="15.75">
      <c r="A60" s="116" t="s">
        <v>12</v>
      </c>
      <c r="B60" s="162"/>
    </row>
    <row r="61" spans="1:2" s="118" customFormat="1">
      <c r="A61" s="116" t="s">
        <v>13</v>
      </c>
      <c r="B61" s="116" t="str">
        <f>IFERROR(VLOOKUP(B60,CC!A:B,2,0),"")</f>
        <v/>
      </c>
    </row>
    <row r="62" spans="1:2">
      <c r="A62" s="160"/>
      <c r="B62" s="160"/>
    </row>
    <row r="63" spans="1:2">
      <c r="A63" s="169" t="s">
        <v>16</v>
      </c>
      <c r="B63" s="169"/>
    </row>
    <row r="64" spans="1:2">
      <c r="A64" s="167" t="s">
        <v>9</v>
      </c>
      <c r="B64" s="167"/>
    </row>
    <row r="65" spans="1:2">
      <c r="A65" s="134" t="s">
        <v>10</v>
      </c>
      <c r="B65" s="153" t="s">
        <v>11</v>
      </c>
    </row>
    <row r="66" spans="1:2">
      <c r="A66" s="130"/>
      <c r="B66" s="154"/>
    </row>
    <row r="67" spans="1:2">
      <c r="A67" s="116" t="s">
        <v>12</v>
      </c>
      <c r="B67" s="163"/>
    </row>
    <row r="68" spans="1:2">
      <c r="A68" s="116" t="s">
        <v>13</v>
      </c>
      <c r="B68" s="116" t="str">
        <f>IFERROR(VLOOKUP(B67,CC!A:B,2,0),"")</f>
        <v/>
      </c>
    </row>
    <row r="69" spans="1:2">
      <c r="A69" s="175" t="s">
        <v>17</v>
      </c>
      <c r="B69" s="175"/>
    </row>
    <row r="70" spans="1:2">
      <c r="A70" s="167" t="s">
        <v>9</v>
      </c>
      <c r="B70" s="167"/>
    </row>
    <row r="71" spans="1:2">
      <c r="A71" s="134" t="s">
        <v>10</v>
      </c>
      <c r="B71" s="134" t="s">
        <v>11</v>
      </c>
    </row>
    <row r="72" spans="1:2" ht="15.75">
      <c r="A72" s="159"/>
      <c r="B72" s="159"/>
    </row>
    <row r="73" spans="1:2" ht="15.75">
      <c r="A73" s="116" t="s">
        <v>12</v>
      </c>
      <c r="B73" s="165"/>
    </row>
    <row r="74" spans="1:2">
      <c r="A74" s="127" t="s">
        <v>13</v>
      </c>
      <c r="B74" s="116" t="str">
        <f>IFERROR(VLOOKUP(B73,CC!A:B,2,0),"")</f>
        <v/>
      </c>
    </row>
    <row r="75" spans="1:2">
      <c r="A75" s="173"/>
      <c r="B75" s="173"/>
    </row>
    <row r="76" spans="1:2">
      <c r="A76" s="177" t="s">
        <v>18</v>
      </c>
      <c r="B76" s="178"/>
    </row>
    <row r="77" spans="1:2">
      <c r="A77" s="127" t="s">
        <v>2</v>
      </c>
      <c r="B77" s="164" t="s">
        <v>3</v>
      </c>
    </row>
    <row r="78" spans="1:2">
      <c r="A78" s="127" t="s">
        <v>4</v>
      </c>
      <c r="B78" s="164">
        <v>5956</v>
      </c>
    </row>
    <row r="79" spans="1:2">
      <c r="A79" s="127" t="s">
        <v>5</v>
      </c>
      <c r="B79" s="164">
        <v>24</v>
      </c>
    </row>
    <row r="80" spans="1:2">
      <c r="A80" s="127" t="s">
        <v>6</v>
      </c>
      <c r="B80" s="116" t="s">
        <v>7</v>
      </c>
    </row>
    <row r="81" spans="1:14">
      <c r="A81" s="173"/>
      <c r="B81" s="173"/>
    </row>
    <row r="82" spans="1:14">
      <c r="A82" s="167" t="s">
        <v>9</v>
      </c>
      <c r="B82" s="167"/>
    </row>
    <row r="83" spans="1:14">
      <c r="A83" s="134" t="s">
        <v>10</v>
      </c>
      <c r="B83" s="134" t="s">
        <v>11</v>
      </c>
    </row>
    <row r="84" spans="1:14" ht="15.75">
      <c r="A84" s="159"/>
      <c r="B84" s="159"/>
      <c r="F84" s="16"/>
    </row>
    <row r="85" spans="1:14" ht="15.75">
      <c r="A85" s="47" t="s">
        <v>12</v>
      </c>
      <c r="B85" s="158"/>
      <c r="F85" s="16"/>
    </row>
    <row r="86" spans="1:14">
      <c r="A86" s="47" t="s">
        <v>13</v>
      </c>
      <c r="B86" s="47" t="str">
        <f>IFERROR(VLOOKUP(B85,CC!A:B,2,0),"")</f>
        <v/>
      </c>
      <c r="F86" s="16"/>
    </row>
    <row r="87" spans="1:14">
      <c r="A87" s="170"/>
      <c r="B87" s="170"/>
      <c r="F87" s="16"/>
    </row>
    <row r="88" spans="1:14">
      <c r="A88" s="171" t="s">
        <v>9</v>
      </c>
      <c r="B88" s="171"/>
      <c r="F88" s="16"/>
      <c r="N88" s="16"/>
    </row>
    <row r="89" spans="1:14">
      <c r="A89" s="133" t="s">
        <v>10</v>
      </c>
      <c r="B89" s="133" t="s">
        <v>11</v>
      </c>
      <c r="N89" s="16"/>
    </row>
    <row r="90" spans="1:14" ht="15.75">
      <c r="A90" s="159"/>
      <c r="B90" s="166"/>
    </row>
    <row r="91" spans="1:14" ht="15.75">
      <c r="A91" s="47" t="s">
        <v>12</v>
      </c>
      <c r="B91" s="158"/>
    </row>
    <row r="92" spans="1:14">
      <c r="A92" s="47" t="s">
        <v>13</v>
      </c>
      <c r="B92" s="47" t="str">
        <f>IFERROR(VLOOKUP(B91,CC!A:B,2,0),"")</f>
        <v/>
      </c>
    </row>
    <row r="93" spans="1:14">
      <c r="A93" s="168"/>
      <c r="B93" s="168"/>
    </row>
    <row r="94" spans="1:14">
      <c r="A94" s="167" t="s">
        <v>9</v>
      </c>
      <c r="B94" s="167"/>
    </row>
    <row r="95" spans="1:14">
      <c r="A95" s="134" t="s">
        <v>10</v>
      </c>
      <c r="B95" s="153" t="s">
        <v>11</v>
      </c>
    </row>
    <row r="96" spans="1:14" ht="15.75">
      <c r="A96" s="159"/>
      <c r="B96" s="159"/>
    </row>
    <row r="97" spans="1:2" ht="15.75">
      <c r="A97" s="127" t="s">
        <v>12</v>
      </c>
      <c r="B97" s="158"/>
    </row>
    <row r="98" spans="1:2">
      <c r="A98" s="127" t="s">
        <v>13</v>
      </c>
      <c r="B98" s="116" t="str">
        <f>IFERROR(VLOOKUP(B97,CC!A:B,2,0),"")</f>
        <v/>
      </c>
    </row>
    <row r="99" spans="1:2">
      <c r="A99" s="168"/>
      <c r="B99" s="168"/>
    </row>
    <row r="100" spans="1:2">
      <c r="A100" s="167" t="s">
        <v>9</v>
      </c>
      <c r="B100" s="167"/>
    </row>
    <row r="101" spans="1:2">
      <c r="A101" s="134" t="s">
        <v>10</v>
      </c>
      <c r="B101" s="153" t="s">
        <v>11</v>
      </c>
    </row>
    <row r="102" spans="1:2" ht="15.75">
      <c r="A102" s="159"/>
      <c r="B102" s="159"/>
    </row>
    <row r="103" spans="1:2" ht="15.75">
      <c r="A103" s="127" t="s">
        <v>12</v>
      </c>
      <c r="B103" s="158"/>
    </row>
    <row r="104" spans="1:2">
      <c r="A104" s="127" t="s">
        <v>13</v>
      </c>
      <c r="B104" s="116" t="str">
        <f>IFERROR(VLOOKUP(B103,CC!A:B,2,0),"")</f>
        <v/>
      </c>
    </row>
    <row r="105" spans="1:2">
      <c r="A105" s="168"/>
      <c r="B105" s="168"/>
    </row>
    <row r="106" spans="1:2">
      <c r="A106" s="167" t="s">
        <v>9</v>
      </c>
      <c r="B106" s="167"/>
    </row>
    <row r="107" spans="1:2">
      <c r="A107" s="134" t="s">
        <v>10</v>
      </c>
      <c r="B107" s="153" t="s">
        <v>11</v>
      </c>
    </row>
    <row r="108" spans="1:2">
      <c r="A108" s="130"/>
      <c r="B108" s="154"/>
    </row>
    <row r="109" spans="1:2">
      <c r="A109" s="127" t="s">
        <v>12</v>
      </c>
    </row>
    <row r="110" spans="1:2">
      <c r="A110" s="127" t="s">
        <v>13</v>
      </c>
      <c r="B110" s="116" t="str">
        <f>IFERROR(VLOOKUP(B109,CC!A:B,2,0),"")</f>
        <v/>
      </c>
    </row>
    <row r="111" spans="1:2">
      <c r="A111" s="168"/>
      <c r="B111" s="168"/>
    </row>
    <row r="112" spans="1:2">
      <c r="A112" s="167" t="s">
        <v>9</v>
      </c>
      <c r="B112" s="167"/>
    </row>
    <row r="113" spans="1:2">
      <c r="A113" s="134" t="s">
        <v>10</v>
      </c>
      <c r="B113" s="153" t="s">
        <v>11</v>
      </c>
    </row>
    <row r="114" spans="1:2">
      <c r="A114" s="130"/>
      <c r="B114" s="154"/>
    </row>
    <row r="115" spans="1:2">
      <c r="A115" s="127" t="s">
        <v>12</v>
      </c>
      <c r="B115" s="152"/>
    </row>
    <row r="116" spans="1:2">
      <c r="A116" s="127" t="s">
        <v>13</v>
      </c>
      <c r="B116" s="116" t="str">
        <f>IFERROR(VLOOKUP(B115,CC!A:B,2,0),"")</f>
        <v/>
      </c>
    </row>
    <row r="117" spans="1:2">
      <c r="A117" s="168"/>
      <c r="B117" s="168"/>
    </row>
    <row r="118" spans="1:2">
      <c r="A118" s="167" t="s">
        <v>9</v>
      </c>
      <c r="B118" s="167"/>
    </row>
    <row r="119" spans="1:2">
      <c r="A119" s="134" t="s">
        <v>10</v>
      </c>
      <c r="B119" s="153" t="s">
        <v>11</v>
      </c>
    </row>
    <row r="120" spans="1:2">
      <c r="A120" s="130"/>
      <c r="B120" s="154"/>
    </row>
    <row r="121" spans="1:2">
      <c r="A121" s="127" t="s">
        <v>12</v>
      </c>
      <c r="B121" s="152"/>
    </row>
    <row r="122" spans="1:2">
      <c r="A122" s="127" t="s">
        <v>13</v>
      </c>
      <c r="B122" s="116" t="str">
        <f>IFERROR(VLOOKUP(B121,CC!A:B,2,0),"")</f>
        <v/>
      </c>
    </row>
    <row r="123" spans="1:2">
      <c r="A123" s="168"/>
      <c r="B123" s="168"/>
    </row>
    <row r="124" spans="1:2">
      <c r="A124" s="167" t="s">
        <v>9</v>
      </c>
      <c r="B124" s="167"/>
    </row>
    <row r="125" spans="1:2">
      <c r="A125" s="134" t="s">
        <v>10</v>
      </c>
      <c r="B125" s="153" t="s">
        <v>11</v>
      </c>
    </row>
    <row r="126" spans="1:2">
      <c r="A126" s="130"/>
      <c r="B126" s="154"/>
    </row>
    <row r="127" spans="1:2">
      <c r="A127" s="127" t="s">
        <v>12</v>
      </c>
      <c r="B127" s="152"/>
    </row>
    <row r="128" spans="1:2">
      <c r="A128" s="127" t="s">
        <v>13</v>
      </c>
      <c r="B128" s="116" t="str">
        <f>IFERROR(VLOOKUP(B127,CC!A:B,2,0),"")</f>
        <v/>
      </c>
    </row>
    <row r="129" spans="1:2">
      <c r="A129" s="168"/>
      <c r="B129" s="168"/>
    </row>
    <row r="130" spans="1:2">
      <c r="A130" s="167" t="s">
        <v>9</v>
      </c>
      <c r="B130" s="167"/>
    </row>
    <row r="131" spans="1:2">
      <c r="A131" s="134" t="s">
        <v>10</v>
      </c>
      <c r="B131" s="153" t="s">
        <v>11</v>
      </c>
    </row>
    <row r="132" spans="1:2">
      <c r="A132" s="130"/>
      <c r="B132" s="154"/>
    </row>
    <row r="133" spans="1:2">
      <c r="A133" s="127" t="s">
        <v>12</v>
      </c>
      <c r="B133" s="152"/>
    </row>
    <row r="134" spans="1:2">
      <c r="A134" s="127" t="s">
        <v>13</v>
      </c>
      <c r="B134" s="116" t="str">
        <f>IFERROR(VLOOKUP(B133,CC!A:B,2,0),"")</f>
        <v/>
      </c>
    </row>
  </sheetData>
  <protectedRanges>
    <protectedRange sqref="B53" name="Range1_8_3"/>
    <protectedRange sqref="B11" name="Range1"/>
    <protectedRange sqref="B18 B85 B103" name="Range1_28"/>
    <protectedRange sqref="B73" name="Range1_25"/>
    <protectedRange sqref="B97" name="Range1_36_2"/>
  </protectedRanges>
  <mergeCells count="44">
    <mergeCell ref="A105:B105"/>
    <mergeCell ref="A88:B88"/>
    <mergeCell ref="D1:J1"/>
    <mergeCell ref="A6:B6"/>
    <mergeCell ref="A94:B94"/>
    <mergeCell ref="A100:B100"/>
    <mergeCell ref="A1:B1"/>
    <mergeCell ref="A81:B81"/>
    <mergeCell ref="A7:B7"/>
    <mergeCell ref="A69:B69"/>
    <mergeCell ref="A8:B8"/>
    <mergeCell ref="A13:B13"/>
    <mergeCell ref="A76:B76"/>
    <mergeCell ref="A75:B75"/>
    <mergeCell ref="A14:B14"/>
    <mergeCell ref="A15:B15"/>
    <mergeCell ref="A63:B63"/>
    <mergeCell ref="A64:B64"/>
    <mergeCell ref="A21:B21"/>
    <mergeCell ref="A22:B22"/>
    <mergeCell ref="A28:B28"/>
    <mergeCell ref="A29:B29"/>
    <mergeCell ref="A35:B35"/>
    <mergeCell ref="A36:B36"/>
    <mergeCell ref="A42:B42"/>
    <mergeCell ref="A43:B43"/>
    <mergeCell ref="A49:B49"/>
    <mergeCell ref="A50:B50"/>
    <mergeCell ref="A124:B124"/>
    <mergeCell ref="A129:B129"/>
    <mergeCell ref="A130:B130"/>
    <mergeCell ref="A56:B56"/>
    <mergeCell ref="A57:B57"/>
    <mergeCell ref="A117:B117"/>
    <mergeCell ref="A118:B118"/>
    <mergeCell ref="A123:B123"/>
    <mergeCell ref="A106:B106"/>
    <mergeCell ref="A111:B111"/>
    <mergeCell ref="A112:B112"/>
    <mergeCell ref="A70:B70"/>
    <mergeCell ref="A82:B82"/>
    <mergeCell ref="A87:B87"/>
    <mergeCell ref="A93:B93"/>
    <mergeCell ref="A99:B99"/>
  </mergeCells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1D3D-F926-437B-9173-2AAE40BCD7AE}">
  <sheetPr codeName="Planilha6">
    <tabColor theme="4"/>
  </sheetPr>
  <dimension ref="A1:B24"/>
  <sheetViews>
    <sheetView showGridLines="0" zoomScale="115" zoomScaleNormal="115" workbookViewId="0">
      <selection activeCell="G19" sqref="G19"/>
    </sheetView>
  </sheetViews>
  <sheetFormatPr defaultRowHeight="15"/>
  <cols>
    <col min="1" max="1" width="18.140625" bestFit="1" customWidth="1"/>
    <col min="2" max="2" width="61.85546875" bestFit="1" customWidth="1"/>
  </cols>
  <sheetData>
    <row r="1" spans="1:2">
      <c r="A1" s="179" t="s">
        <v>18</v>
      </c>
      <c r="B1" s="180"/>
    </row>
    <row r="2" spans="1:2">
      <c r="A2" s="2" t="s">
        <v>2</v>
      </c>
      <c r="B2" s="1" t="s">
        <v>3</v>
      </c>
    </row>
    <row r="3" spans="1:2">
      <c r="A3" s="2" t="s">
        <v>4</v>
      </c>
      <c r="B3" s="1">
        <v>5956</v>
      </c>
    </row>
    <row r="4" spans="1:2">
      <c r="A4" s="2" t="s">
        <v>5</v>
      </c>
      <c r="B4" s="1">
        <v>24</v>
      </c>
    </row>
    <row r="5" spans="1:2">
      <c r="A5" s="2" t="s">
        <v>6</v>
      </c>
      <c r="B5" s="3" t="s">
        <v>19</v>
      </c>
    </row>
    <row r="6" spans="1:2">
      <c r="A6" s="185"/>
      <c r="B6" s="185"/>
    </row>
    <row r="7" spans="1:2">
      <c r="A7" s="181" t="s">
        <v>20</v>
      </c>
      <c r="B7" s="182"/>
    </row>
    <row r="8" spans="1:2">
      <c r="A8" s="50" t="s">
        <v>21</v>
      </c>
      <c r="B8" s="117" t="s">
        <v>22</v>
      </c>
    </row>
    <row r="9" spans="1:2">
      <c r="A9" s="130"/>
      <c r="B9" s="156"/>
    </row>
    <row r="10" spans="1:2">
      <c r="A10" s="151" t="s">
        <v>12</v>
      </c>
      <c r="B10" s="155"/>
    </row>
    <row r="11" spans="1:2">
      <c r="A11" s="47" t="s">
        <v>13</v>
      </c>
      <c r="B11" s="157" t="str">
        <f>IFERROR(VLOOKUP(B10,CC!A:B,2,TRUE),"")</f>
        <v/>
      </c>
    </row>
    <row r="12" spans="1:2">
      <c r="A12" s="184"/>
      <c r="B12" s="184"/>
    </row>
    <row r="13" spans="1:2">
      <c r="A13" s="181" t="s">
        <v>23</v>
      </c>
      <c r="B13" s="182"/>
    </row>
    <row r="14" spans="1:2">
      <c r="A14" s="50" t="s">
        <v>21</v>
      </c>
      <c r="B14" s="117" t="s">
        <v>22</v>
      </c>
    </row>
    <row r="15" spans="1:2">
      <c r="A15" s="130"/>
      <c r="B15" s="130"/>
    </row>
    <row r="16" spans="1:2">
      <c r="A16" s="132" t="s">
        <v>12</v>
      </c>
      <c r="B16" s="150"/>
    </row>
    <row r="17" spans="1:2">
      <c r="A17" s="132" t="s">
        <v>13</v>
      </c>
      <c r="B17" s="47" t="str">
        <f>IFERROR(VLOOKUP(B16,CC!A:B,2,TRUE),"")</f>
        <v/>
      </c>
    </row>
    <row r="18" spans="1:2">
      <c r="A18" s="183"/>
      <c r="B18" s="184"/>
    </row>
    <row r="19" spans="1:2">
      <c r="A19" s="181" t="s">
        <v>24</v>
      </c>
      <c r="B19" s="182"/>
    </row>
    <row r="20" spans="1:2">
      <c r="A20" s="50" t="s">
        <v>21</v>
      </c>
      <c r="B20" s="117" t="s">
        <v>22</v>
      </c>
    </row>
    <row r="21" spans="1:2">
      <c r="A21" s="141"/>
      <c r="B21" s="130"/>
    </row>
    <row r="22" spans="1:2">
      <c r="A22" s="132" t="s">
        <v>12</v>
      </c>
      <c r="B22" s="150"/>
    </row>
    <row r="23" spans="1:2">
      <c r="A23" s="132" t="s">
        <v>13</v>
      </c>
      <c r="B23" s="47" t="str">
        <f>IFERROR(VLOOKUP(B22,CC!A:B,2,TRUE),"")</f>
        <v/>
      </c>
    </row>
    <row r="24" spans="1:2">
      <c r="A24" s="183"/>
      <c r="B24" s="184"/>
    </row>
  </sheetData>
  <protectedRanges>
    <protectedRange sqref="B16" name="Range1_6_1_6"/>
    <protectedRange sqref="B22" name="Range1_29_1_5"/>
    <protectedRange sqref="B10" name="Range1_19"/>
  </protectedRanges>
  <mergeCells count="8">
    <mergeCell ref="A1:B1"/>
    <mergeCell ref="A13:B13"/>
    <mergeCell ref="A18:B18"/>
    <mergeCell ref="A19:B19"/>
    <mergeCell ref="A24:B24"/>
    <mergeCell ref="A6:B6"/>
    <mergeCell ref="A7:B7"/>
    <mergeCell ref="A12:B12"/>
  </mergeCells>
  <pageMargins left="0.25" right="0.25" top="0.75" bottom="0.75" header="0.3" footer="0.3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0266-2B0A-4284-B79B-65BF6FC78E5A}">
  <sheetPr codeName="Planilha3">
    <tabColor theme="6"/>
  </sheetPr>
  <dimension ref="A1:DA46"/>
  <sheetViews>
    <sheetView workbookViewId="0">
      <pane ySplit="2" topLeftCell="G3" activePane="bottomLeft" state="frozen"/>
      <selection pane="bottomLeft" activeCell="G1" sqref="G1:I1"/>
    </sheetView>
  </sheetViews>
  <sheetFormatPr defaultRowHeight="18.75"/>
  <cols>
    <col min="1" max="1" width="12.5703125" style="94" bestFit="1" customWidth="1"/>
    <col min="2" max="2" width="8.7109375" style="94" bestFit="1" customWidth="1"/>
    <col min="3" max="3" width="9" style="105" bestFit="1" customWidth="1"/>
    <col min="4" max="4" width="12.5703125" style="94" bestFit="1" customWidth="1"/>
    <col min="5" max="5" width="8.7109375" style="94" bestFit="1" customWidth="1"/>
    <col min="6" max="6" width="9" style="105" bestFit="1" customWidth="1"/>
    <col min="7" max="7" width="12.5703125" style="94" bestFit="1" customWidth="1"/>
    <col min="8" max="8" width="8.7109375" style="94" bestFit="1" customWidth="1"/>
    <col min="9" max="9" width="9" style="105" bestFit="1" customWidth="1"/>
    <col min="10" max="10" width="12.5703125" style="94" bestFit="1" customWidth="1"/>
    <col min="11" max="11" width="8.7109375" style="94" bestFit="1" customWidth="1"/>
    <col min="12" max="12" width="9" style="105" bestFit="1" customWidth="1"/>
    <col min="13" max="13" width="12.5703125" style="94" bestFit="1" customWidth="1"/>
    <col min="14" max="14" width="8.7109375" style="94" bestFit="1" customWidth="1"/>
    <col min="15" max="15" width="9" style="105" bestFit="1" customWidth="1"/>
    <col min="16" max="16" width="12.5703125" style="94" bestFit="1" customWidth="1"/>
    <col min="17" max="17" width="8.7109375" style="94" bestFit="1" customWidth="1"/>
    <col min="18" max="18" width="9" style="105" bestFit="1" customWidth="1"/>
    <col min="19" max="19" width="12.5703125" style="94" bestFit="1" customWidth="1"/>
    <col min="20" max="20" width="8.7109375" style="94" bestFit="1" customWidth="1"/>
    <col min="21" max="21" width="9" style="105" bestFit="1" customWidth="1"/>
    <col min="22" max="22" width="12.5703125" style="94" bestFit="1" customWidth="1"/>
    <col min="23" max="23" width="8.7109375" style="94" bestFit="1" customWidth="1"/>
    <col min="24" max="24" width="9" style="105" bestFit="1" customWidth="1"/>
    <col min="25" max="25" width="12.5703125" style="94" bestFit="1" customWidth="1"/>
    <col min="26" max="26" width="8.7109375" style="94" bestFit="1" customWidth="1"/>
    <col min="27" max="27" width="9" style="105" bestFit="1" customWidth="1"/>
    <col min="28" max="28" width="12.5703125" style="94" bestFit="1" customWidth="1"/>
    <col min="29" max="29" width="8.7109375" style="94" bestFit="1" customWidth="1"/>
    <col min="30" max="30" width="9" style="105" bestFit="1" customWidth="1"/>
    <col min="31" max="31" width="12.5703125" style="94" bestFit="1" customWidth="1"/>
    <col min="32" max="32" width="8.7109375" style="94" bestFit="1" customWidth="1"/>
    <col min="33" max="33" width="9" style="105" bestFit="1" customWidth="1"/>
    <col min="34" max="34" width="12.5703125" style="94" bestFit="1" customWidth="1"/>
    <col min="35" max="35" width="8.7109375" style="94" bestFit="1" customWidth="1"/>
    <col min="36" max="36" width="9" style="105" bestFit="1" customWidth="1"/>
    <col min="37" max="37" width="12.5703125" style="94" bestFit="1" customWidth="1"/>
    <col min="38" max="38" width="8.7109375" style="94" bestFit="1" customWidth="1"/>
    <col min="39" max="39" width="9" style="105" bestFit="1" customWidth="1"/>
    <col min="40" max="40" width="12.5703125" style="94" bestFit="1" customWidth="1"/>
    <col min="41" max="41" width="8.7109375" style="94" bestFit="1" customWidth="1"/>
    <col min="42" max="42" width="9" style="105" bestFit="1" customWidth="1"/>
    <col min="43" max="43" width="12.5703125" style="94" bestFit="1" customWidth="1"/>
    <col min="44" max="44" width="8.7109375" style="94" bestFit="1" customWidth="1"/>
    <col min="45" max="45" width="9" style="105" bestFit="1" customWidth="1"/>
    <col min="46" max="46" width="12.5703125" style="94" bestFit="1" customWidth="1"/>
    <col min="47" max="47" width="8.7109375" style="94" bestFit="1" customWidth="1"/>
    <col min="48" max="48" width="9" style="105" bestFit="1" customWidth="1"/>
    <col min="49" max="49" width="12.5703125" style="94" bestFit="1" customWidth="1"/>
    <col min="50" max="50" width="8.7109375" style="94" bestFit="1" customWidth="1"/>
    <col min="51" max="51" width="9" style="105" bestFit="1" customWidth="1"/>
    <col min="52" max="52" width="12.5703125" style="94" bestFit="1" customWidth="1"/>
    <col min="53" max="53" width="8.7109375" style="94" bestFit="1" customWidth="1"/>
    <col min="54" max="54" width="9" style="105" bestFit="1" customWidth="1"/>
    <col min="55" max="55" width="13" style="103" bestFit="1" customWidth="1"/>
    <col min="56" max="56" width="9" style="103" bestFit="1" customWidth="1"/>
    <col min="57" max="57" width="9.140625" style="105" bestFit="1" customWidth="1"/>
    <col min="58" max="58" width="12.5703125" style="103" bestFit="1" customWidth="1"/>
    <col min="59" max="59" width="8.7109375" style="103" bestFit="1" customWidth="1"/>
    <col min="60" max="60" width="9" style="105" bestFit="1" customWidth="1"/>
    <col min="61" max="61" width="12.5703125" style="103" bestFit="1" customWidth="1"/>
    <col min="62" max="62" width="8.7109375" style="103" bestFit="1" customWidth="1"/>
    <col min="63" max="63" width="9.140625" style="105" bestFit="1" customWidth="1"/>
    <col min="64" max="64" width="13" style="94" bestFit="1" customWidth="1"/>
    <col min="65" max="65" width="9.140625" style="94"/>
    <col min="66" max="66" width="9.140625" style="106"/>
    <col min="67" max="67" width="13" style="94" bestFit="1" customWidth="1"/>
    <col min="68" max="68" width="9.140625" style="94"/>
    <col min="69" max="69" width="9.140625" style="106"/>
    <col min="70" max="70" width="13" style="94" bestFit="1" customWidth="1"/>
    <col min="71" max="71" width="9.140625" style="94"/>
    <col min="72" max="72" width="9.140625" style="106"/>
    <col min="73" max="73" width="13" style="94" bestFit="1" customWidth="1"/>
    <col min="74" max="74" width="9" style="94" bestFit="1" customWidth="1"/>
    <col min="75" max="75" width="9.140625" style="94"/>
    <col min="76" max="76" width="13" style="94" bestFit="1" customWidth="1"/>
    <col min="77" max="77" width="9" style="94" bestFit="1" customWidth="1"/>
    <col min="78" max="78" width="9.140625" style="94"/>
    <col min="79" max="79" width="13" style="94" bestFit="1" customWidth="1"/>
    <col min="80" max="80" width="9" style="94" bestFit="1" customWidth="1"/>
    <col min="81" max="81" width="9.140625" style="94"/>
    <col min="82" max="82" width="13" style="94" bestFit="1" customWidth="1"/>
    <col min="83" max="83" width="9" style="94" bestFit="1" customWidth="1"/>
    <col min="84" max="84" width="9.140625" style="94"/>
    <col min="85" max="85" width="13" style="94" bestFit="1" customWidth="1"/>
    <col min="86" max="86" width="9" style="94" bestFit="1" customWidth="1"/>
    <col min="87" max="87" width="9.140625" style="94"/>
    <col min="88" max="88" width="13" style="94" bestFit="1" customWidth="1"/>
    <col min="89" max="89" width="9" style="94" bestFit="1" customWidth="1"/>
    <col min="90" max="90" width="9.140625" style="94"/>
    <col min="91" max="91" width="13" style="94" bestFit="1" customWidth="1"/>
    <col min="92" max="92" width="9" style="94" bestFit="1" customWidth="1"/>
    <col min="93" max="93" width="9.140625" style="94"/>
    <col min="94" max="94" width="13" style="94" bestFit="1" customWidth="1"/>
    <col min="95" max="95" width="9" style="94" bestFit="1" customWidth="1"/>
    <col min="96" max="96" width="9.140625" style="94"/>
    <col min="97" max="97" width="13" style="94" bestFit="1" customWidth="1"/>
    <col min="98" max="98" width="9" style="94" bestFit="1" customWidth="1"/>
    <col min="99" max="99" width="9.140625" style="94"/>
    <col min="100" max="100" width="13" style="94" bestFit="1" customWidth="1"/>
    <col min="101" max="101" width="9" style="94" bestFit="1" customWidth="1"/>
    <col min="102" max="102" width="9.140625" style="94"/>
    <col min="103" max="103" width="13" style="94" bestFit="1" customWidth="1"/>
    <col min="104" max="16384" width="9.140625" style="94"/>
  </cols>
  <sheetData>
    <row r="1" spans="1:105" s="89" customFormat="1">
      <c r="A1" s="186">
        <v>202400989</v>
      </c>
      <c r="B1" s="186"/>
      <c r="C1" s="186"/>
      <c r="D1" s="186">
        <v>202400990</v>
      </c>
      <c r="E1" s="186"/>
      <c r="F1" s="186"/>
      <c r="G1" s="186">
        <v>202400991</v>
      </c>
      <c r="H1" s="186"/>
      <c r="I1" s="186"/>
      <c r="J1" s="186">
        <v>202401099</v>
      </c>
      <c r="K1" s="186"/>
      <c r="L1" s="186"/>
      <c r="M1" s="186">
        <v>202500030</v>
      </c>
      <c r="N1" s="186"/>
      <c r="O1" s="186"/>
      <c r="P1" s="186">
        <v>202500034</v>
      </c>
      <c r="Q1" s="186"/>
      <c r="R1" s="186"/>
      <c r="S1" s="186">
        <v>202500119</v>
      </c>
      <c r="T1" s="186"/>
      <c r="U1" s="186"/>
      <c r="V1" s="186">
        <v>202500120</v>
      </c>
      <c r="W1" s="186"/>
      <c r="X1" s="186"/>
      <c r="Y1" s="186">
        <v>202500121</v>
      </c>
      <c r="Z1" s="186"/>
      <c r="AA1" s="186"/>
      <c r="AB1" s="186">
        <v>202500132</v>
      </c>
      <c r="AC1" s="186"/>
      <c r="AD1" s="186"/>
      <c r="AE1" s="186">
        <v>202500298</v>
      </c>
      <c r="AF1" s="186"/>
      <c r="AG1" s="186"/>
      <c r="AH1" s="186">
        <v>202500357</v>
      </c>
      <c r="AI1" s="186"/>
      <c r="AJ1" s="186"/>
      <c r="AK1" s="186">
        <v>202500358</v>
      </c>
      <c r="AL1" s="186"/>
      <c r="AM1" s="186"/>
      <c r="AN1" s="186">
        <v>202500379</v>
      </c>
      <c r="AO1" s="186"/>
      <c r="AP1" s="186"/>
      <c r="AQ1" s="186">
        <v>202500519</v>
      </c>
      <c r="AR1" s="186"/>
      <c r="AS1" s="186"/>
      <c r="AT1" s="186">
        <v>202500520</v>
      </c>
      <c r="AU1" s="186"/>
      <c r="AV1" s="186"/>
      <c r="AW1" s="186">
        <v>202500521</v>
      </c>
      <c r="AX1" s="186"/>
      <c r="AY1" s="186"/>
      <c r="AZ1" s="186">
        <v>202500631</v>
      </c>
      <c r="BA1" s="186"/>
      <c r="BB1" s="186"/>
      <c r="BC1" s="188" t="s">
        <v>25</v>
      </c>
      <c r="BD1" s="189"/>
      <c r="BE1" s="189"/>
      <c r="BF1" s="188" t="s">
        <v>26</v>
      </c>
      <c r="BG1" s="189"/>
      <c r="BH1" s="189"/>
      <c r="BI1" s="188" t="s">
        <v>27</v>
      </c>
      <c r="BJ1" s="189"/>
      <c r="BK1" s="189"/>
      <c r="BL1" s="186">
        <v>202400681</v>
      </c>
      <c r="BM1" s="186"/>
      <c r="BN1" s="186"/>
      <c r="BO1" s="186">
        <v>202400671</v>
      </c>
      <c r="BP1" s="186"/>
      <c r="BQ1" s="186"/>
      <c r="BR1" s="186">
        <v>202400673</v>
      </c>
      <c r="BS1" s="186"/>
      <c r="BT1" s="186"/>
      <c r="BU1" s="186">
        <v>202401100</v>
      </c>
      <c r="BV1" s="186"/>
      <c r="BW1" s="186"/>
      <c r="BX1" s="186">
        <v>202401281</v>
      </c>
      <c r="BY1" s="186"/>
      <c r="BZ1" s="186"/>
      <c r="CA1" s="186">
        <v>202401401</v>
      </c>
      <c r="CB1" s="186"/>
      <c r="CC1" s="186"/>
      <c r="CD1" s="186">
        <v>202400448</v>
      </c>
      <c r="CE1" s="186"/>
      <c r="CF1" s="186"/>
      <c r="CG1" s="186">
        <v>202500029</v>
      </c>
      <c r="CH1" s="186"/>
      <c r="CI1" s="186"/>
      <c r="CJ1" s="186">
        <v>202500031</v>
      </c>
      <c r="CK1" s="186"/>
      <c r="CL1" s="186"/>
      <c r="CM1" s="186">
        <v>202500118</v>
      </c>
      <c r="CN1" s="186"/>
      <c r="CO1" s="186"/>
      <c r="CP1" s="186">
        <v>202500127</v>
      </c>
      <c r="CQ1" s="186"/>
      <c r="CR1" s="186"/>
      <c r="CS1" s="186">
        <v>202500866</v>
      </c>
      <c r="CT1" s="186"/>
      <c r="CU1" s="186"/>
      <c r="CV1" s="186">
        <v>202500869</v>
      </c>
      <c r="CW1" s="186"/>
      <c r="CX1" s="186"/>
      <c r="CY1" s="186">
        <v>202500518</v>
      </c>
      <c r="CZ1" s="186"/>
      <c r="DA1" s="186"/>
    </row>
    <row r="2" spans="1:105" s="91" customFormat="1">
      <c r="A2" s="90" t="s">
        <v>28</v>
      </c>
      <c r="B2" s="90" t="s">
        <v>10</v>
      </c>
      <c r="C2" s="102" t="s">
        <v>29</v>
      </c>
      <c r="D2" s="90" t="s">
        <v>28</v>
      </c>
      <c r="E2" s="90" t="s">
        <v>10</v>
      </c>
      <c r="F2" s="102" t="s">
        <v>29</v>
      </c>
      <c r="G2" s="90" t="s">
        <v>28</v>
      </c>
      <c r="H2" s="90" t="s">
        <v>10</v>
      </c>
      <c r="I2" s="102" t="s">
        <v>29</v>
      </c>
      <c r="J2" s="90" t="s">
        <v>28</v>
      </c>
      <c r="K2" s="90" t="s">
        <v>10</v>
      </c>
      <c r="L2" s="102" t="s">
        <v>29</v>
      </c>
      <c r="M2" s="90" t="s">
        <v>28</v>
      </c>
      <c r="N2" s="90" t="s">
        <v>10</v>
      </c>
      <c r="O2" s="102" t="s">
        <v>29</v>
      </c>
      <c r="P2" s="90" t="s">
        <v>28</v>
      </c>
      <c r="Q2" s="90" t="s">
        <v>10</v>
      </c>
      <c r="R2" s="102" t="s">
        <v>29</v>
      </c>
      <c r="S2" s="90" t="s">
        <v>28</v>
      </c>
      <c r="T2" s="90" t="s">
        <v>10</v>
      </c>
      <c r="U2" s="102" t="s">
        <v>29</v>
      </c>
      <c r="V2" s="90" t="s">
        <v>28</v>
      </c>
      <c r="W2" s="90" t="s">
        <v>10</v>
      </c>
      <c r="X2" s="102" t="s">
        <v>29</v>
      </c>
      <c r="Y2" s="90" t="s">
        <v>28</v>
      </c>
      <c r="Z2" s="90" t="s">
        <v>10</v>
      </c>
      <c r="AA2" s="102" t="s">
        <v>29</v>
      </c>
      <c r="AB2" s="90" t="s">
        <v>28</v>
      </c>
      <c r="AC2" s="90" t="s">
        <v>10</v>
      </c>
      <c r="AD2" s="102" t="s">
        <v>29</v>
      </c>
      <c r="AE2" s="90" t="s">
        <v>28</v>
      </c>
      <c r="AF2" s="90" t="s">
        <v>10</v>
      </c>
      <c r="AG2" s="102" t="s">
        <v>29</v>
      </c>
      <c r="AH2" s="90" t="s">
        <v>28</v>
      </c>
      <c r="AI2" s="90" t="s">
        <v>10</v>
      </c>
      <c r="AJ2" s="102" t="s">
        <v>29</v>
      </c>
      <c r="AK2" s="122" t="s">
        <v>28</v>
      </c>
      <c r="AL2" s="122" t="s">
        <v>10</v>
      </c>
      <c r="AM2" s="102" t="s">
        <v>29</v>
      </c>
      <c r="AN2" s="90" t="s">
        <v>28</v>
      </c>
      <c r="AO2" s="90" t="s">
        <v>10</v>
      </c>
      <c r="AP2" s="102" t="s">
        <v>29</v>
      </c>
      <c r="AQ2" s="90" t="s">
        <v>28</v>
      </c>
      <c r="AR2" s="90" t="s">
        <v>10</v>
      </c>
      <c r="AS2" s="102" t="s">
        <v>29</v>
      </c>
      <c r="AT2" s="90" t="s">
        <v>28</v>
      </c>
      <c r="AU2" s="90" t="s">
        <v>10</v>
      </c>
      <c r="AV2" s="102" t="s">
        <v>29</v>
      </c>
      <c r="AW2" s="90" t="s">
        <v>28</v>
      </c>
      <c r="AX2" s="90" t="s">
        <v>10</v>
      </c>
      <c r="AY2" s="102" t="s">
        <v>29</v>
      </c>
      <c r="AZ2" s="90" t="s">
        <v>28</v>
      </c>
      <c r="BA2" s="90" t="s">
        <v>10</v>
      </c>
      <c r="BB2" s="102" t="s">
        <v>29</v>
      </c>
      <c r="BC2" s="102" t="s">
        <v>28</v>
      </c>
      <c r="BD2" s="102" t="s">
        <v>10</v>
      </c>
      <c r="BE2" s="102" t="s">
        <v>29</v>
      </c>
      <c r="BF2" s="102" t="s">
        <v>28</v>
      </c>
      <c r="BG2" s="102" t="s">
        <v>10</v>
      </c>
      <c r="BH2" s="102" t="s">
        <v>29</v>
      </c>
      <c r="BI2" s="102" t="s">
        <v>28</v>
      </c>
      <c r="BJ2" s="102" t="s">
        <v>10</v>
      </c>
      <c r="BK2" s="102" t="s">
        <v>29</v>
      </c>
      <c r="BL2" s="90" t="s">
        <v>28</v>
      </c>
      <c r="BM2" s="90" t="s">
        <v>10</v>
      </c>
      <c r="BN2" s="90" t="s">
        <v>29</v>
      </c>
      <c r="BO2" s="90" t="s">
        <v>28</v>
      </c>
      <c r="BP2" s="90" t="s">
        <v>10</v>
      </c>
      <c r="BQ2" s="90" t="s">
        <v>29</v>
      </c>
      <c r="BR2" s="90" t="s">
        <v>28</v>
      </c>
      <c r="BS2" s="90" t="s">
        <v>10</v>
      </c>
      <c r="BT2" s="90" t="s">
        <v>29</v>
      </c>
      <c r="BU2" s="90" t="s">
        <v>28</v>
      </c>
      <c r="BV2" s="90" t="s">
        <v>10</v>
      </c>
      <c r="BW2" s="90" t="s">
        <v>29</v>
      </c>
      <c r="BX2" s="90" t="s">
        <v>28</v>
      </c>
      <c r="BY2" s="90" t="s">
        <v>10</v>
      </c>
      <c r="BZ2" s="90" t="s">
        <v>29</v>
      </c>
      <c r="CA2" s="90" t="s">
        <v>28</v>
      </c>
      <c r="CB2" s="90" t="s">
        <v>10</v>
      </c>
      <c r="CC2" s="90" t="s">
        <v>29</v>
      </c>
      <c r="CD2" s="90" t="s">
        <v>28</v>
      </c>
      <c r="CE2" s="90" t="s">
        <v>10</v>
      </c>
      <c r="CF2" s="90" t="s">
        <v>29</v>
      </c>
      <c r="CG2" s="90" t="s">
        <v>28</v>
      </c>
      <c r="CH2" s="90" t="s">
        <v>10</v>
      </c>
      <c r="CI2" s="90" t="s">
        <v>29</v>
      </c>
      <c r="CJ2" s="90" t="s">
        <v>28</v>
      </c>
      <c r="CK2" s="90" t="s">
        <v>10</v>
      </c>
      <c r="CL2" s="90" t="s">
        <v>29</v>
      </c>
      <c r="CM2" s="90" t="s">
        <v>28</v>
      </c>
      <c r="CN2" s="90" t="s">
        <v>10</v>
      </c>
      <c r="CO2" s="90" t="s">
        <v>29</v>
      </c>
      <c r="CP2" s="90" t="s">
        <v>28</v>
      </c>
      <c r="CQ2" s="90" t="s">
        <v>10</v>
      </c>
      <c r="CR2" s="90" t="s">
        <v>29</v>
      </c>
      <c r="CS2" s="90" t="s">
        <v>28</v>
      </c>
      <c r="CT2" s="90" t="s">
        <v>10</v>
      </c>
      <c r="CU2" s="90" t="s">
        <v>29</v>
      </c>
      <c r="CV2" s="90" t="s">
        <v>28</v>
      </c>
      <c r="CW2" s="90" t="s">
        <v>10</v>
      </c>
      <c r="CX2" s="90" t="s">
        <v>29</v>
      </c>
      <c r="CY2" s="90" t="s">
        <v>28</v>
      </c>
      <c r="CZ2" s="90" t="s">
        <v>10</v>
      </c>
      <c r="DA2" s="90" t="s">
        <v>29</v>
      </c>
    </row>
    <row r="3" spans="1:105">
      <c r="A3" s="92"/>
      <c r="B3" s="92"/>
      <c r="C3" s="115">
        <v>3.888888888888889E-2</v>
      </c>
      <c r="D3" s="92"/>
      <c r="E3" s="92"/>
      <c r="F3" s="115">
        <v>0.11736111111111111</v>
      </c>
      <c r="G3" s="142"/>
      <c r="H3" s="142"/>
      <c r="I3" s="114">
        <v>7.3611111111111113E-2</v>
      </c>
      <c r="J3" s="92"/>
      <c r="K3" s="92"/>
      <c r="L3" s="114">
        <v>5.2777777777777778E-2</v>
      </c>
      <c r="M3" s="92"/>
      <c r="N3" s="92"/>
      <c r="O3" s="114">
        <v>0.30902777777777779</v>
      </c>
      <c r="P3" s="92"/>
      <c r="Q3" s="92"/>
      <c r="R3" s="114">
        <v>0.58472222222222225</v>
      </c>
      <c r="S3" s="92"/>
      <c r="T3" s="92"/>
      <c r="U3" s="114">
        <v>0.15555555555555556</v>
      </c>
      <c r="V3" s="92"/>
      <c r="W3" s="92"/>
      <c r="X3" s="114">
        <v>3.9583333333333331E-2</v>
      </c>
      <c r="Y3" s="92"/>
      <c r="Z3" s="92"/>
      <c r="AA3" s="114">
        <v>0.15555555555555556</v>
      </c>
      <c r="AB3" s="92"/>
      <c r="AC3" s="92"/>
      <c r="AD3" s="114">
        <v>4.2361111111111113E-2</v>
      </c>
      <c r="AE3" s="92"/>
      <c r="AF3" s="92"/>
      <c r="AG3" s="114">
        <v>8.611111111111111E-2</v>
      </c>
      <c r="AH3" s="92"/>
      <c r="AI3" s="92"/>
      <c r="AJ3" s="114">
        <v>3.9583333333333331E-2</v>
      </c>
      <c r="AK3" s="92"/>
      <c r="AL3" s="92"/>
      <c r="AM3" s="114">
        <v>4.1666666666666664E-2</v>
      </c>
      <c r="AN3" s="138"/>
      <c r="AO3" s="138"/>
      <c r="AP3" s="114">
        <v>8.611111111111111E-2</v>
      </c>
      <c r="AQ3" s="125">
        <v>0.74513888888888891</v>
      </c>
      <c r="AR3" s="125">
        <v>0.8041666666666667</v>
      </c>
      <c r="AS3" s="114">
        <f>AR3-AQ3</f>
        <v>5.902777777777779E-2</v>
      </c>
      <c r="AT3" s="92"/>
      <c r="AU3" s="92"/>
      <c r="AV3" s="114">
        <f>AU3-AT3</f>
        <v>0</v>
      </c>
      <c r="AW3" s="125">
        <v>0.4236111111111111</v>
      </c>
      <c r="AX3" s="125">
        <v>0.48958333333333331</v>
      </c>
      <c r="AY3" s="114">
        <f>AX3-AW3</f>
        <v>6.597222222222221E-2</v>
      </c>
      <c r="AZ3" s="92"/>
      <c r="BA3" s="92"/>
      <c r="BB3" s="114">
        <v>0.12013888888888889</v>
      </c>
      <c r="BC3" s="101"/>
      <c r="BD3" s="101"/>
      <c r="BE3" s="114">
        <v>3.4722222222222224E-2</v>
      </c>
      <c r="BF3" s="101"/>
      <c r="BG3" s="101"/>
      <c r="BH3" s="114">
        <v>9.0277777777777769E-3</v>
      </c>
      <c r="BI3" s="101"/>
      <c r="BJ3" s="101"/>
      <c r="BK3" s="114">
        <v>7.4305555555555555E-2</v>
      </c>
      <c r="BL3" s="125">
        <v>0.52152777777777781</v>
      </c>
      <c r="BM3" s="125">
        <v>0.625</v>
      </c>
      <c r="BN3" s="114">
        <f t="shared" ref="BN3:BN45" si="0">BM3-BL3</f>
        <v>0.10347222222222219</v>
      </c>
      <c r="BO3" s="125">
        <v>0.67708333333333337</v>
      </c>
      <c r="BP3" s="125">
        <v>0.71666666666666667</v>
      </c>
      <c r="BQ3" s="114">
        <f t="shared" ref="BQ3:BQ45" si="1">BP3-BO3</f>
        <v>3.9583333333333304E-2</v>
      </c>
      <c r="BR3" s="125">
        <v>0.34166666666666667</v>
      </c>
      <c r="BS3" s="125">
        <v>0.41805555555555557</v>
      </c>
      <c r="BT3" s="114">
        <f t="shared" ref="BT3:BT45" si="2">BS3-BR3</f>
        <v>7.6388888888888895E-2</v>
      </c>
      <c r="BU3" s="93"/>
      <c r="BV3" s="93"/>
      <c r="BW3" s="114">
        <f t="shared" ref="BW3:BW45" si="3">BV3-BU3</f>
        <v>0</v>
      </c>
      <c r="BX3" s="93"/>
      <c r="BY3" s="93"/>
      <c r="BZ3" s="114">
        <f t="shared" ref="BZ3:BZ45" si="4">BY3-BX3</f>
        <v>0</v>
      </c>
      <c r="CA3" s="93"/>
      <c r="CB3" s="93"/>
      <c r="CC3" s="114">
        <f t="shared" ref="CC3:CC45" si="5">CB3-CA3</f>
        <v>0</v>
      </c>
      <c r="CD3" s="93"/>
      <c r="CE3" s="93"/>
      <c r="CF3" s="114">
        <f t="shared" ref="CF3:CF45" si="6">CE3-CD3</f>
        <v>0</v>
      </c>
      <c r="CG3" s="93"/>
      <c r="CH3" s="93"/>
      <c r="CI3" s="114">
        <f t="shared" ref="CI3:CI45" si="7">CH3-CG3</f>
        <v>0</v>
      </c>
      <c r="CJ3" s="93"/>
      <c r="CK3" s="93"/>
      <c r="CL3" s="114">
        <f t="shared" ref="CL3:CL45" si="8">CK3-CJ3</f>
        <v>0</v>
      </c>
      <c r="CM3" s="93"/>
      <c r="CN3" s="93"/>
      <c r="CO3" s="114">
        <f>CN4-CM4</f>
        <v>0</v>
      </c>
      <c r="CP3" s="93"/>
      <c r="CQ3" s="93"/>
      <c r="CR3" s="114">
        <f t="shared" ref="CR3:CR45" si="9">CQ3-CP3</f>
        <v>0</v>
      </c>
      <c r="CS3" s="93"/>
      <c r="CT3" s="93"/>
      <c r="CU3" s="114">
        <f t="shared" ref="CU3:CU45" si="10">CT3-CS3</f>
        <v>0</v>
      </c>
      <c r="CV3" s="93"/>
      <c r="CW3" s="93"/>
      <c r="CX3" s="114">
        <f t="shared" ref="CX3:CX45" si="11">CW3-CV3</f>
        <v>0</v>
      </c>
      <c r="CY3" s="93">
        <v>0.66666666666666663</v>
      </c>
      <c r="CZ3" s="93">
        <v>0.70833333333333337</v>
      </c>
      <c r="DA3" s="114">
        <f t="shared" ref="DA3:DA45" si="12">CZ3-CY3</f>
        <v>4.1666666666666741E-2</v>
      </c>
    </row>
    <row r="4" spans="1:105">
      <c r="A4" s="125">
        <v>0.70208333333333328</v>
      </c>
      <c r="B4" s="125">
        <v>0.7319444444444444</v>
      </c>
      <c r="C4" s="114">
        <f t="shared" ref="C4:C45" si="13">B4-A4</f>
        <v>2.9861111111111116E-2</v>
      </c>
      <c r="D4" s="125">
        <v>0.40208333333333335</v>
      </c>
      <c r="E4" s="125">
        <v>0.4513888888888889</v>
      </c>
      <c r="F4" s="114">
        <f t="shared" ref="F4:F45" si="14">E4-D4</f>
        <v>4.9305555555555547E-2</v>
      </c>
      <c r="G4" s="125">
        <v>0.64930555555555558</v>
      </c>
      <c r="H4" s="125">
        <v>0.67361111111111116</v>
      </c>
      <c r="I4" s="114">
        <f t="shared" ref="I4:I45" si="15">H4-G4</f>
        <v>2.430555555555558E-2</v>
      </c>
      <c r="J4" s="125">
        <v>0.39583333333333331</v>
      </c>
      <c r="K4" s="125">
        <v>0.42708333333333331</v>
      </c>
      <c r="L4" s="114">
        <f t="shared" ref="L4:L45" si="16">K4-J4</f>
        <v>3.125E-2</v>
      </c>
      <c r="M4" s="125">
        <v>0.41805555555555557</v>
      </c>
      <c r="N4" s="125">
        <v>0.4597222222222222</v>
      </c>
      <c r="O4" s="114">
        <f t="shared" ref="O4:O45" si="17">N4-M4</f>
        <v>4.166666666666663E-2</v>
      </c>
      <c r="P4" s="125">
        <v>0.40208333333333335</v>
      </c>
      <c r="Q4" s="125">
        <v>0.45</v>
      </c>
      <c r="R4" s="114">
        <f t="shared" ref="R4:R45" si="18">Q4-P4</f>
        <v>4.7916666666666663E-2</v>
      </c>
      <c r="S4" s="125">
        <v>0.65138888888888891</v>
      </c>
      <c r="T4" s="125">
        <v>0.69722222222222219</v>
      </c>
      <c r="U4" s="114">
        <f t="shared" ref="U4:U45" si="19">T4-S4</f>
        <v>4.5833333333333282E-2</v>
      </c>
      <c r="V4" s="125">
        <v>0.39583333333333331</v>
      </c>
      <c r="W4" s="125">
        <v>0.44791666666666669</v>
      </c>
      <c r="X4" s="114">
        <f t="shared" ref="X4:X45" si="20">W4-V4</f>
        <v>5.208333333333337E-2</v>
      </c>
      <c r="Y4" s="125">
        <v>0.63541666666666663</v>
      </c>
      <c r="Z4" s="125">
        <v>0.67708333333333337</v>
      </c>
      <c r="AA4" s="114">
        <f t="shared" ref="AA4:AA45" si="21">Z4-Y4</f>
        <v>4.1666666666666741E-2</v>
      </c>
      <c r="AB4" s="128">
        <v>0.40208333333333335</v>
      </c>
      <c r="AC4" s="128">
        <v>0.44166666666666665</v>
      </c>
      <c r="AD4" s="114">
        <f t="shared" ref="AD4:AD45" si="22">AC4-AB4</f>
        <v>3.9583333333333304E-2</v>
      </c>
      <c r="AE4" s="92"/>
      <c r="AF4" s="92"/>
      <c r="AG4" s="114">
        <f t="shared" ref="AG4:AG45" si="23">AF4-AE4</f>
        <v>0</v>
      </c>
      <c r="AH4" s="92"/>
      <c r="AI4" s="92"/>
      <c r="AJ4" s="114">
        <f t="shared" ref="AJ4:AJ45" si="24">AI4-AH4</f>
        <v>0</v>
      </c>
      <c r="AK4" s="125">
        <v>0.375</v>
      </c>
      <c r="AL4" s="125">
        <v>0.39583333333333331</v>
      </c>
      <c r="AM4" s="136">
        <f t="shared" ref="AM4:AM45" si="25">AL4-AK4</f>
        <v>2.0833333333333315E-2</v>
      </c>
      <c r="AN4" s="143">
        <v>0.44027777777777777</v>
      </c>
      <c r="AO4" s="143">
        <v>0.47916666666666669</v>
      </c>
      <c r="AP4" s="137">
        <f t="shared" ref="AP4:AP45" si="26">AO4-AN4</f>
        <v>3.8888888888888917E-2</v>
      </c>
      <c r="AQ4" s="92"/>
      <c r="AR4" s="92"/>
      <c r="AS4" s="114">
        <f t="shared" ref="AS4:AS45" si="27">AR4-AQ4</f>
        <v>0</v>
      </c>
      <c r="AT4" s="92"/>
      <c r="AU4" s="92"/>
      <c r="AV4" s="114">
        <f t="shared" ref="AV4:AV45" si="28">AU4-AT4</f>
        <v>0</v>
      </c>
      <c r="AW4" s="92"/>
      <c r="AX4" s="92"/>
      <c r="AY4" s="114">
        <f t="shared" ref="AY4:AY45" si="29">AX4-AW4</f>
        <v>0</v>
      </c>
      <c r="AZ4" s="125">
        <v>0.30833333333333335</v>
      </c>
      <c r="BA4" s="125">
        <v>0.34166666666666667</v>
      </c>
      <c r="BB4" s="114">
        <f t="shared" ref="BB4:BB45" si="30">BA4-AZ4</f>
        <v>3.3333333333333326E-2</v>
      </c>
      <c r="BC4" s="101"/>
      <c r="BD4" s="101"/>
      <c r="BE4" s="114">
        <f t="shared" ref="BE4:BE45" si="31">BD4-BC4</f>
        <v>0</v>
      </c>
      <c r="BF4" s="101"/>
      <c r="BG4" s="101"/>
      <c r="BH4" s="114">
        <f t="shared" ref="BH4:BH45" si="32">BG4-BF4</f>
        <v>0</v>
      </c>
      <c r="BI4" s="101">
        <v>0.375</v>
      </c>
      <c r="BJ4" s="101">
        <v>0.42499999999999999</v>
      </c>
      <c r="BK4" s="114">
        <f t="shared" ref="BK4:BK45" si="33">BJ4-BI4</f>
        <v>4.9999999999999989E-2</v>
      </c>
      <c r="BL4" s="125">
        <v>0.71666666666666667</v>
      </c>
      <c r="BM4" s="125">
        <v>0.74583333333333335</v>
      </c>
      <c r="BN4" s="114">
        <f t="shared" si="0"/>
        <v>2.9166666666666674E-2</v>
      </c>
      <c r="BO4" s="92"/>
      <c r="BP4" s="92"/>
      <c r="BQ4" s="114">
        <f t="shared" si="1"/>
        <v>0</v>
      </c>
      <c r="BR4" s="92"/>
      <c r="BS4" s="92"/>
      <c r="BT4" s="114">
        <f t="shared" si="2"/>
        <v>0</v>
      </c>
      <c r="BU4" s="92"/>
      <c r="BV4" s="92"/>
      <c r="BW4" s="114">
        <f t="shared" si="3"/>
        <v>0</v>
      </c>
      <c r="BX4" s="92"/>
      <c r="BY4" s="92"/>
      <c r="BZ4" s="114">
        <f t="shared" si="4"/>
        <v>0</v>
      </c>
      <c r="CA4" s="92"/>
      <c r="CB4" s="92"/>
      <c r="CC4" s="114">
        <f t="shared" si="5"/>
        <v>0</v>
      </c>
      <c r="CD4" s="92"/>
      <c r="CE4" s="92"/>
      <c r="CF4" s="114">
        <f t="shared" si="6"/>
        <v>0</v>
      </c>
      <c r="CG4" s="92"/>
      <c r="CH4" s="92"/>
      <c r="CI4" s="114">
        <f t="shared" si="7"/>
        <v>0</v>
      </c>
      <c r="CJ4" s="92"/>
      <c r="CK4" s="92"/>
      <c r="CL4" s="114">
        <f t="shared" si="8"/>
        <v>0</v>
      </c>
      <c r="CM4" s="92"/>
      <c r="CN4" s="92"/>
      <c r="CO4" s="114">
        <f t="shared" ref="CO4:CO45" si="34">CN4-CM4</f>
        <v>0</v>
      </c>
      <c r="CP4" s="92"/>
      <c r="CQ4" s="92"/>
      <c r="CR4" s="114">
        <f t="shared" si="9"/>
        <v>0</v>
      </c>
      <c r="CS4" s="92"/>
      <c r="CT4" s="92"/>
      <c r="CU4" s="114">
        <f t="shared" si="10"/>
        <v>0</v>
      </c>
      <c r="CV4" s="92"/>
      <c r="CW4" s="92"/>
      <c r="CX4" s="114">
        <f t="shared" si="11"/>
        <v>0</v>
      </c>
      <c r="CY4" s="92"/>
      <c r="CZ4" s="92"/>
      <c r="DA4" s="114">
        <f t="shared" si="12"/>
        <v>0</v>
      </c>
    </row>
    <row r="5" spans="1:105">
      <c r="A5" s="92"/>
      <c r="B5" s="92"/>
      <c r="C5" s="114">
        <f t="shared" si="13"/>
        <v>0</v>
      </c>
      <c r="D5" s="92"/>
      <c r="E5" s="92"/>
      <c r="F5" s="114">
        <f t="shared" si="14"/>
        <v>0</v>
      </c>
      <c r="G5" s="125">
        <v>0.55972222222222223</v>
      </c>
      <c r="H5" s="125">
        <v>0.57638888888888884</v>
      </c>
      <c r="I5" s="114">
        <f t="shared" si="15"/>
        <v>1.6666666666666607E-2</v>
      </c>
      <c r="J5" s="92"/>
      <c r="K5" s="92"/>
      <c r="L5" s="114">
        <f t="shared" si="16"/>
        <v>0</v>
      </c>
      <c r="M5" s="125">
        <v>0.62152777777777779</v>
      </c>
      <c r="N5" s="125">
        <v>0.65277777777777779</v>
      </c>
      <c r="O5" s="114">
        <f t="shared" si="17"/>
        <v>3.125E-2</v>
      </c>
      <c r="P5" s="143">
        <v>0.4201388888888889</v>
      </c>
      <c r="Q5" s="143">
        <v>0.44027777777777777</v>
      </c>
      <c r="R5" s="114">
        <f t="shared" si="18"/>
        <v>2.0138888888888873E-2</v>
      </c>
      <c r="S5" s="125">
        <v>0.73819444444444449</v>
      </c>
      <c r="T5" s="125">
        <v>0.81944444444444442</v>
      </c>
      <c r="U5" s="114">
        <f t="shared" si="19"/>
        <v>8.1249999999999933E-2</v>
      </c>
      <c r="V5" s="125">
        <v>0.66666666666666663</v>
      </c>
      <c r="W5" s="125">
        <v>0.70902777777777781</v>
      </c>
      <c r="X5" s="114">
        <f t="shared" si="20"/>
        <v>4.2361111111111183E-2</v>
      </c>
      <c r="Y5" s="125">
        <v>0.48541666666666666</v>
      </c>
      <c r="Z5" s="125">
        <v>0.52152777777777781</v>
      </c>
      <c r="AA5" s="114">
        <f t="shared" si="21"/>
        <v>3.6111111111111149E-2</v>
      </c>
      <c r="AB5" s="121">
        <v>0.44166666666666665</v>
      </c>
      <c r="AC5" s="121">
        <v>0.49375000000000002</v>
      </c>
      <c r="AD5" s="114">
        <f t="shared" si="22"/>
        <v>5.208333333333337E-2</v>
      </c>
      <c r="AE5" s="92"/>
      <c r="AF5" s="92"/>
      <c r="AG5" s="114">
        <f t="shared" si="23"/>
        <v>0</v>
      </c>
      <c r="AH5" s="92"/>
      <c r="AI5" s="92"/>
      <c r="AJ5" s="114">
        <f t="shared" si="24"/>
        <v>0</v>
      </c>
      <c r="AK5" s="119">
        <v>0.66666666666666663</v>
      </c>
      <c r="AL5" s="120">
        <v>0.7729166666666667</v>
      </c>
      <c r="AM5" s="114">
        <f t="shared" si="25"/>
        <v>0.10625000000000007</v>
      </c>
      <c r="AN5" s="148">
        <v>0.375</v>
      </c>
      <c r="AO5" s="148">
        <v>0.42499999999999999</v>
      </c>
      <c r="AP5" s="114">
        <f t="shared" si="26"/>
        <v>4.9999999999999989E-2</v>
      </c>
      <c r="AQ5" s="92"/>
      <c r="AR5" s="92"/>
      <c r="AS5" s="114">
        <f t="shared" si="27"/>
        <v>0</v>
      </c>
      <c r="AT5" s="92"/>
      <c r="AU5" s="92"/>
      <c r="AV5" s="114">
        <f t="shared" si="28"/>
        <v>0</v>
      </c>
      <c r="AW5" s="92"/>
      <c r="AX5" s="92"/>
      <c r="AY5" s="114">
        <f t="shared" si="29"/>
        <v>0</v>
      </c>
      <c r="AZ5" s="121">
        <v>0.55902777777777779</v>
      </c>
      <c r="BA5" s="121">
        <v>0.6118055555555556</v>
      </c>
      <c r="BB5" s="114">
        <f t="shared" si="30"/>
        <v>5.2777777777777812E-2</v>
      </c>
      <c r="BC5" s="101"/>
      <c r="BD5" s="101"/>
      <c r="BE5" s="114">
        <f t="shared" si="31"/>
        <v>0</v>
      </c>
      <c r="BF5" s="101"/>
      <c r="BG5" s="101"/>
      <c r="BH5" s="114">
        <f t="shared" si="32"/>
        <v>0</v>
      </c>
      <c r="BI5" s="101"/>
      <c r="BJ5" s="101"/>
      <c r="BK5" s="114">
        <f t="shared" si="33"/>
        <v>0</v>
      </c>
      <c r="BL5" s="92"/>
      <c r="BM5" s="92"/>
      <c r="BN5" s="114">
        <f t="shared" si="0"/>
        <v>0</v>
      </c>
      <c r="BO5" s="92"/>
      <c r="BP5" s="92"/>
      <c r="BQ5" s="114">
        <f t="shared" si="1"/>
        <v>0</v>
      </c>
      <c r="BR5" s="92"/>
      <c r="BS5" s="92"/>
      <c r="BT5" s="114">
        <f t="shared" si="2"/>
        <v>0</v>
      </c>
      <c r="BU5" s="92"/>
      <c r="BV5" s="92"/>
      <c r="BW5" s="114">
        <f t="shared" si="3"/>
        <v>0</v>
      </c>
      <c r="BX5" s="92"/>
      <c r="BY5" s="92"/>
      <c r="BZ5" s="114">
        <f t="shared" si="4"/>
        <v>0</v>
      </c>
      <c r="CA5" s="92"/>
      <c r="CB5" s="92"/>
      <c r="CC5" s="114">
        <f t="shared" si="5"/>
        <v>0</v>
      </c>
      <c r="CD5" s="92"/>
      <c r="CE5" s="92"/>
      <c r="CF5" s="114">
        <f t="shared" si="6"/>
        <v>0</v>
      </c>
      <c r="CG5" s="92"/>
      <c r="CH5" s="92"/>
      <c r="CI5" s="114">
        <f t="shared" si="7"/>
        <v>0</v>
      </c>
      <c r="CJ5" s="92"/>
      <c r="CK5" s="92"/>
      <c r="CL5" s="114">
        <f t="shared" si="8"/>
        <v>0</v>
      </c>
      <c r="CM5" s="92"/>
      <c r="CN5" s="92"/>
      <c r="CO5" s="114">
        <f t="shared" si="34"/>
        <v>0</v>
      </c>
      <c r="CP5" s="92"/>
      <c r="CQ5" s="92"/>
      <c r="CR5" s="114">
        <f t="shared" si="9"/>
        <v>0</v>
      </c>
      <c r="CS5" s="92"/>
      <c r="CT5" s="92"/>
      <c r="CU5" s="114">
        <f t="shared" si="10"/>
        <v>0</v>
      </c>
      <c r="CV5" s="92"/>
      <c r="CW5" s="92"/>
      <c r="CX5" s="114">
        <f t="shared" si="11"/>
        <v>0</v>
      </c>
      <c r="CY5" s="92"/>
      <c r="CZ5" s="92"/>
      <c r="DA5" s="114">
        <f t="shared" si="12"/>
        <v>0</v>
      </c>
    </row>
    <row r="6" spans="1:105">
      <c r="A6" s="92"/>
      <c r="B6" s="92"/>
      <c r="C6" s="114">
        <f t="shared" si="13"/>
        <v>0</v>
      </c>
      <c r="D6" s="92"/>
      <c r="E6" s="92"/>
      <c r="F6" s="114">
        <f t="shared" si="14"/>
        <v>0</v>
      </c>
      <c r="G6" s="123">
        <v>0.41249999999999998</v>
      </c>
      <c r="H6" s="123">
        <v>0.49861111111111112</v>
      </c>
      <c r="I6" s="114">
        <f t="shared" si="15"/>
        <v>8.6111111111111138E-2</v>
      </c>
      <c r="J6" s="92"/>
      <c r="K6" s="92"/>
      <c r="L6" s="114">
        <f t="shared" si="16"/>
        <v>0</v>
      </c>
      <c r="M6" s="125">
        <v>0.32291666666666669</v>
      </c>
      <c r="N6" s="125">
        <v>0.39097222222222222</v>
      </c>
      <c r="O6" s="114">
        <f t="shared" si="17"/>
        <v>6.8055555555555536E-2</v>
      </c>
      <c r="P6" s="143">
        <v>0.31527777777777777</v>
      </c>
      <c r="Q6" s="143">
        <v>0.36388888888888887</v>
      </c>
      <c r="R6" s="114">
        <f t="shared" si="18"/>
        <v>4.8611111111111105E-2</v>
      </c>
      <c r="S6" s="92"/>
      <c r="T6" s="92"/>
      <c r="U6" s="114">
        <f t="shared" si="19"/>
        <v>0</v>
      </c>
      <c r="V6" s="92"/>
      <c r="W6" s="92"/>
      <c r="X6" s="114">
        <f t="shared" si="20"/>
        <v>0</v>
      </c>
      <c r="Y6" s="92"/>
      <c r="Z6" s="92"/>
      <c r="AA6" s="114">
        <f t="shared" si="21"/>
        <v>0</v>
      </c>
      <c r="AB6" s="93">
        <v>0.31597222222222221</v>
      </c>
      <c r="AC6" s="93">
        <v>0.4861111111111111</v>
      </c>
      <c r="AD6" s="114">
        <f t="shared" si="22"/>
        <v>0.1701388888888889</v>
      </c>
      <c r="AE6" s="92"/>
      <c r="AF6" s="92"/>
      <c r="AG6" s="114">
        <f t="shared" si="23"/>
        <v>0</v>
      </c>
      <c r="AH6" s="92"/>
      <c r="AI6" s="92"/>
      <c r="AJ6" s="114">
        <f t="shared" si="24"/>
        <v>0</v>
      </c>
      <c r="AK6" s="121">
        <v>0.61805555555555558</v>
      </c>
      <c r="AL6" s="121">
        <v>0.66666666666666663</v>
      </c>
      <c r="AM6" s="114">
        <f t="shared" si="25"/>
        <v>4.8611111111111049E-2</v>
      </c>
      <c r="AN6" s="92"/>
      <c r="AO6" s="92"/>
      <c r="AP6" s="114">
        <f t="shared" si="26"/>
        <v>0</v>
      </c>
      <c r="AQ6" s="92"/>
      <c r="AR6" s="92"/>
      <c r="AS6" s="114">
        <f t="shared" si="27"/>
        <v>0</v>
      </c>
      <c r="AT6" s="92"/>
      <c r="AU6" s="92"/>
      <c r="AV6" s="114">
        <f t="shared" si="28"/>
        <v>0</v>
      </c>
      <c r="AW6" s="92"/>
      <c r="AX6" s="92"/>
      <c r="AY6" s="114">
        <f t="shared" si="29"/>
        <v>0</v>
      </c>
      <c r="AZ6" s="129">
        <v>0.6118055555555556</v>
      </c>
      <c r="BA6" s="120">
        <v>0.65208333333333335</v>
      </c>
      <c r="BB6" s="114">
        <f t="shared" si="30"/>
        <v>4.0277777777777746E-2</v>
      </c>
      <c r="BC6" s="101"/>
      <c r="BD6" s="101"/>
      <c r="BE6" s="114">
        <f t="shared" si="31"/>
        <v>0</v>
      </c>
      <c r="BF6" s="101"/>
      <c r="BG6" s="101"/>
      <c r="BH6" s="114">
        <f t="shared" si="32"/>
        <v>0</v>
      </c>
      <c r="BI6" s="101"/>
      <c r="BJ6" s="101"/>
      <c r="BK6" s="114">
        <f t="shared" si="33"/>
        <v>0</v>
      </c>
      <c r="BL6" s="92"/>
      <c r="BM6" s="92"/>
      <c r="BN6" s="114">
        <f t="shared" si="0"/>
        <v>0</v>
      </c>
      <c r="BO6" s="92"/>
      <c r="BP6" s="92"/>
      <c r="BQ6" s="114">
        <f t="shared" si="1"/>
        <v>0</v>
      </c>
      <c r="BR6" s="92"/>
      <c r="BS6" s="92"/>
      <c r="BT6" s="114">
        <f t="shared" si="2"/>
        <v>0</v>
      </c>
      <c r="BU6" s="92"/>
      <c r="BV6" s="92"/>
      <c r="BW6" s="114">
        <f t="shared" si="3"/>
        <v>0</v>
      </c>
      <c r="BX6" s="92"/>
      <c r="BY6" s="92"/>
      <c r="BZ6" s="114">
        <f t="shared" si="4"/>
        <v>0</v>
      </c>
      <c r="CA6" s="92"/>
      <c r="CB6" s="92"/>
      <c r="CC6" s="114">
        <f t="shared" si="5"/>
        <v>0</v>
      </c>
      <c r="CD6" s="92"/>
      <c r="CE6" s="92"/>
      <c r="CF6" s="114">
        <f t="shared" si="6"/>
        <v>0</v>
      </c>
      <c r="CG6" s="92"/>
      <c r="CH6" s="92"/>
      <c r="CI6" s="114">
        <f t="shared" si="7"/>
        <v>0</v>
      </c>
      <c r="CJ6" s="92"/>
      <c r="CK6" s="92"/>
      <c r="CL6" s="114">
        <f t="shared" si="8"/>
        <v>0</v>
      </c>
      <c r="CM6" s="92"/>
      <c r="CN6" s="92"/>
      <c r="CO6" s="114">
        <f t="shared" si="34"/>
        <v>0</v>
      </c>
      <c r="CP6" s="92"/>
      <c r="CQ6" s="92"/>
      <c r="CR6" s="114">
        <f t="shared" si="9"/>
        <v>0</v>
      </c>
      <c r="CS6" s="92"/>
      <c r="CT6" s="92"/>
      <c r="CU6" s="114">
        <f t="shared" si="10"/>
        <v>0</v>
      </c>
      <c r="CV6" s="92"/>
      <c r="CW6" s="92"/>
      <c r="CX6" s="114">
        <f t="shared" si="11"/>
        <v>0</v>
      </c>
      <c r="CY6" s="92"/>
      <c r="CZ6" s="92"/>
      <c r="DA6" s="114">
        <f t="shared" si="12"/>
        <v>0</v>
      </c>
    </row>
    <row r="7" spans="1:105">
      <c r="A7" s="92"/>
      <c r="B7" s="92"/>
      <c r="C7" s="114">
        <f t="shared" si="13"/>
        <v>0</v>
      </c>
      <c r="D7" s="92"/>
      <c r="E7" s="92"/>
      <c r="F7" s="114">
        <f t="shared" si="14"/>
        <v>0</v>
      </c>
      <c r="G7" s="124">
        <v>0.54166666666666663</v>
      </c>
      <c r="H7" s="124">
        <v>0.57291666666666663</v>
      </c>
      <c r="I7" s="114">
        <f t="shared" si="15"/>
        <v>3.125E-2</v>
      </c>
      <c r="J7" s="92"/>
      <c r="K7" s="92"/>
      <c r="L7" s="114">
        <f t="shared" si="16"/>
        <v>0</v>
      </c>
      <c r="M7" s="92"/>
      <c r="N7" s="92"/>
      <c r="O7" s="114">
        <f t="shared" si="17"/>
        <v>0</v>
      </c>
      <c r="P7" s="125">
        <v>0.3125</v>
      </c>
      <c r="Q7" s="125">
        <v>0.33333333333333331</v>
      </c>
      <c r="R7" s="114">
        <f t="shared" si="18"/>
        <v>2.0833333333333315E-2</v>
      </c>
      <c r="S7" s="92"/>
      <c r="T7" s="92"/>
      <c r="U7" s="114">
        <f t="shared" si="19"/>
        <v>0</v>
      </c>
      <c r="V7" s="92"/>
      <c r="W7" s="92"/>
      <c r="X7" s="114">
        <f t="shared" si="20"/>
        <v>0</v>
      </c>
      <c r="Y7" s="92"/>
      <c r="Z7" s="92"/>
      <c r="AA7" s="114">
        <f t="shared" si="21"/>
        <v>0</v>
      </c>
      <c r="AB7" s="92"/>
      <c r="AC7" s="92"/>
      <c r="AD7" s="114">
        <f t="shared" si="22"/>
        <v>0</v>
      </c>
      <c r="AE7" s="92"/>
      <c r="AF7" s="92"/>
      <c r="AG7" s="114">
        <f t="shared" si="23"/>
        <v>0</v>
      </c>
      <c r="AH7" s="92"/>
      <c r="AI7" s="92"/>
      <c r="AJ7" s="114">
        <f t="shared" si="24"/>
        <v>0</v>
      </c>
      <c r="AK7" s="125">
        <v>0.3125</v>
      </c>
      <c r="AL7" s="125">
        <v>0.33333333333333331</v>
      </c>
      <c r="AM7" s="114">
        <f t="shared" si="25"/>
        <v>2.0833333333333315E-2</v>
      </c>
      <c r="AN7" s="92"/>
      <c r="AO7" s="92"/>
      <c r="AP7" s="114">
        <f t="shared" si="26"/>
        <v>0</v>
      </c>
      <c r="AQ7" s="92"/>
      <c r="AR7" s="92"/>
      <c r="AS7" s="114">
        <f t="shared" si="27"/>
        <v>0</v>
      </c>
      <c r="AT7" s="92"/>
      <c r="AU7" s="92"/>
      <c r="AV7" s="114">
        <f t="shared" si="28"/>
        <v>0</v>
      </c>
      <c r="AW7" s="92"/>
      <c r="AX7" s="92"/>
      <c r="AY7" s="114">
        <f t="shared" si="29"/>
        <v>0</v>
      </c>
      <c r="AZ7" s="92"/>
      <c r="BA7" s="92"/>
      <c r="BB7" s="114">
        <f t="shared" si="30"/>
        <v>0</v>
      </c>
      <c r="BC7" s="101"/>
      <c r="BD7" s="101"/>
      <c r="BE7" s="114">
        <f t="shared" si="31"/>
        <v>0</v>
      </c>
      <c r="BF7" s="101"/>
      <c r="BG7" s="101"/>
      <c r="BH7" s="114">
        <f t="shared" si="32"/>
        <v>0</v>
      </c>
      <c r="BI7" s="101"/>
      <c r="BJ7" s="101"/>
      <c r="BK7" s="114">
        <f t="shared" si="33"/>
        <v>0</v>
      </c>
      <c r="BL7" s="92"/>
      <c r="BM7" s="92"/>
      <c r="BN7" s="114">
        <f t="shared" si="0"/>
        <v>0</v>
      </c>
      <c r="BO7" s="92"/>
      <c r="BP7" s="92"/>
      <c r="BQ7" s="114">
        <f t="shared" si="1"/>
        <v>0</v>
      </c>
      <c r="BR7" s="92"/>
      <c r="BS7" s="92"/>
      <c r="BT7" s="114">
        <f t="shared" si="2"/>
        <v>0</v>
      </c>
      <c r="BU7" s="92"/>
      <c r="BV7" s="92"/>
      <c r="BW7" s="114">
        <f t="shared" si="3"/>
        <v>0</v>
      </c>
      <c r="BX7" s="92"/>
      <c r="BY7" s="92"/>
      <c r="BZ7" s="114">
        <f t="shared" si="4"/>
        <v>0</v>
      </c>
      <c r="CA7" s="92"/>
      <c r="CB7" s="92"/>
      <c r="CC7" s="114">
        <f t="shared" si="5"/>
        <v>0</v>
      </c>
      <c r="CD7" s="92"/>
      <c r="CE7" s="92"/>
      <c r="CF7" s="114">
        <f t="shared" si="6"/>
        <v>0</v>
      </c>
      <c r="CG7" s="92"/>
      <c r="CH7" s="92"/>
      <c r="CI7" s="114">
        <f t="shared" si="7"/>
        <v>0</v>
      </c>
      <c r="CJ7" s="92"/>
      <c r="CK7" s="92"/>
      <c r="CL7" s="114">
        <f t="shared" si="8"/>
        <v>0</v>
      </c>
      <c r="CM7" s="92"/>
      <c r="CN7" s="92"/>
      <c r="CO7" s="114">
        <f t="shared" si="34"/>
        <v>0</v>
      </c>
      <c r="CP7" s="92"/>
      <c r="CQ7" s="92"/>
      <c r="CR7" s="114">
        <f t="shared" si="9"/>
        <v>0</v>
      </c>
      <c r="CS7" s="92"/>
      <c r="CT7" s="92"/>
      <c r="CU7" s="114">
        <f t="shared" si="10"/>
        <v>0</v>
      </c>
      <c r="CV7" s="92"/>
      <c r="CW7" s="92"/>
      <c r="CX7" s="114">
        <f t="shared" si="11"/>
        <v>0</v>
      </c>
      <c r="CY7" s="92"/>
      <c r="CZ7" s="92"/>
      <c r="DA7" s="114">
        <f t="shared" si="12"/>
        <v>0</v>
      </c>
    </row>
    <row r="8" spans="1:105">
      <c r="A8" s="92"/>
      <c r="B8" s="92"/>
      <c r="C8" s="114">
        <f t="shared" si="13"/>
        <v>0</v>
      </c>
      <c r="D8" s="92"/>
      <c r="E8" s="92"/>
      <c r="F8" s="114">
        <f t="shared" si="14"/>
        <v>0</v>
      </c>
      <c r="G8" s="125">
        <v>0.57291666666666663</v>
      </c>
      <c r="H8" s="125">
        <v>0.61805555555555558</v>
      </c>
      <c r="I8" s="114">
        <f t="shared" si="15"/>
        <v>4.5138888888888951E-2</v>
      </c>
      <c r="J8" s="92"/>
      <c r="K8" s="92"/>
      <c r="L8" s="114">
        <f t="shared" si="16"/>
        <v>0</v>
      </c>
      <c r="M8" s="92"/>
      <c r="N8" s="92"/>
      <c r="O8" s="114">
        <f t="shared" si="17"/>
        <v>0</v>
      </c>
      <c r="P8" s="92"/>
      <c r="Q8" s="92"/>
      <c r="R8" s="114">
        <f t="shared" si="18"/>
        <v>0</v>
      </c>
      <c r="S8" s="92"/>
      <c r="T8" s="92"/>
      <c r="U8" s="114">
        <f t="shared" si="19"/>
        <v>0</v>
      </c>
      <c r="V8" s="92"/>
      <c r="W8" s="92"/>
      <c r="X8" s="114">
        <f t="shared" si="20"/>
        <v>0</v>
      </c>
      <c r="Y8" s="92"/>
      <c r="Z8" s="92"/>
      <c r="AA8" s="114">
        <f t="shared" si="21"/>
        <v>0</v>
      </c>
      <c r="AB8" s="92"/>
      <c r="AC8" s="92"/>
      <c r="AD8" s="114">
        <f t="shared" si="22"/>
        <v>0</v>
      </c>
      <c r="AE8" s="92"/>
      <c r="AF8" s="92"/>
      <c r="AG8" s="114">
        <f t="shared" si="23"/>
        <v>0</v>
      </c>
      <c r="AH8" s="92"/>
      <c r="AI8" s="92"/>
      <c r="AJ8" s="114">
        <f t="shared" si="24"/>
        <v>0</v>
      </c>
      <c r="AK8" s="92"/>
      <c r="AL8" s="92"/>
      <c r="AM8" s="114">
        <f t="shared" si="25"/>
        <v>0</v>
      </c>
      <c r="AN8" s="92"/>
      <c r="AO8" s="92"/>
      <c r="AP8" s="114">
        <f t="shared" si="26"/>
        <v>0</v>
      </c>
      <c r="AQ8" s="92"/>
      <c r="AR8" s="92"/>
      <c r="AS8" s="114">
        <f t="shared" si="27"/>
        <v>0</v>
      </c>
      <c r="AT8" s="92"/>
      <c r="AU8" s="92"/>
      <c r="AV8" s="114">
        <f t="shared" si="28"/>
        <v>0</v>
      </c>
      <c r="AW8" s="92"/>
      <c r="AX8" s="92"/>
      <c r="AY8" s="114">
        <f t="shared" si="29"/>
        <v>0</v>
      </c>
      <c r="AZ8" s="92"/>
      <c r="BA8" s="92"/>
      <c r="BB8" s="114">
        <f t="shared" si="30"/>
        <v>0</v>
      </c>
      <c r="BC8" s="101"/>
      <c r="BD8" s="101"/>
      <c r="BE8" s="114">
        <f t="shared" si="31"/>
        <v>0</v>
      </c>
      <c r="BF8" s="101"/>
      <c r="BG8" s="101"/>
      <c r="BH8" s="114">
        <f t="shared" si="32"/>
        <v>0</v>
      </c>
      <c r="BI8" s="101"/>
      <c r="BJ8" s="101"/>
      <c r="BK8" s="114">
        <f t="shared" si="33"/>
        <v>0</v>
      </c>
      <c r="BL8" s="92"/>
      <c r="BM8" s="92"/>
      <c r="BN8" s="114">
        <f t="shared" si="0"/>
        <v>0</v>
      </c>
      <c r="BO8" s="92"/>
      <c r="BP8" s="92"/>
      <c r="BQ8" s="114">
        <f t="shared" si="1"/>
        <v>0</v>
      </c>
      <c r="BR8" s="92"/>
      <c r="BS8" s="92"/>
      <c r="BT8" s="114">
        <f t="shared" si="2"/>
        <v>0</v>
      </c>
      <c r="BU8" s="92"/>
      <c r="BV8" s="92"/>
      <c r="BW8" s="114">
        <f t="shared" si="3"/>
        <v>0</v>
      </c>
      <c r="BX8" s="92"/>
      <c r="BY8" s="92"/>
      <c r="BZ8" s="114">
        <f t="shared" si="4"/>
        <v>0</v>
      </c>
      <c r="CA8" s="92"/>
      <c r="CB8" s="92"/>
      <c r="CC8" s="114">
        <f t="shared" si="5"/>
        <v>0</v>
      </c>
      <c r="CD8" s="92"/>
      <c r="CE8" s="92"/>
      <c r="CF8" s="114">
        <f t="shared" si="6"/>
        <v>0</v>
      </c>
      <c r="CG8" s="92"/>
      <c r="CH8" s="92"/>
      <c r="CI8" s="114">
        <f t="shared" si="7"/>
        <v>0</v>
      </c>
      <c r="CJ8" s="92"/>
      <c r="CK8" s="92"/>
      <c r="CL8" s="114">
        <f t="shared" si="8"/>
        <v>0</v>
      </c>
      <c r="CM8" s="92"/>
      <c r="CN8" s="92"/>
      <c r="CO8" s="114">
        <f t="shared" si="34"/>
        <v>0</v>
      </c>
      <c r="CP8" s="92"/>
      <c r="CQ8" s="92"/>
      <c r="CR8" s="114">
        <f t="shared" si="9"/>
        <v>0</v>
      </c>
      <c r="CS8" s="92"/>
      <c r="CT8" s="92"/>
      <c r="CU8" s="114">
        <f t="shared" si="10"/>
        <v>0</v>
      </c>
      <c r="CV8" s="92"/>
      <c r="CW8" s="92"/>
      <c r="CX8" s="114">
        <f t="shared" si="11"/>
        <v>0</v>
      </c>
      <c r="CY8" s="92"/>
      <c r="CZ8" s="92"/>
      <c r="DA8" s="114">
        <f t="shared" si="12"/>
        <v>0</v>
      </c>
    </row>
    <row r="9" spans="1:105">
      <c r="A9" s="92"/>
      <c r="B9" s="92"/>
      <c r="C9" s="114">
        <f t="shared" si="13"/>
        <v>0</v>
      </c>
      <c r="D9" s="92"/>
      <c r="E9" s="92"/>
      <c r="F9" s="114">
        <f t="shared" si="14"/>
        <v>0</v>
      </c>
      <c r="G9" s="125">
        <v>0.375</v>
      </c>
      <c r="H9" s="125">
        <v>0.43055555555555558</v>
      </c>
      <c r="I9" s="114">
        <f t="shared" si="15"/>
        <v>5.555555555555558E-2</v>
      </c>
      <c r="J9" s="92"/>
      <c r="K9" s="92"/>
      <c r="L9" s="114">
        <f t="shared" si="16"/>
        <v>0</v>
      </c>
      <c r="M9" s="92"/>
      <c r="N9" s="92"/>
      <c r="O9" s="114">
        <f t="shared" si="17"/>
        <v>0</v>
      </c>
      <c r="P9" s="92"/>
      <c r="Q9" s="92"/>
      <c r="R9" s="114">
        <f t="shared" si="18"/>
        <v>0</v>
      </c>
      <c r="S9" s="92"/>
      <c r="T9" s="92"/>
      <c r="U9" s="114">
        <f t="shared" si="19"/>
        <v>0</v>
      </c>
      <c r="V9" s="92"/>
      <c r="W9" s="92"/>
      <c r="X9" s="114">
        <f t="shared" si="20"/>
        <v>0</v>
      </c>
      <c r="Y9" s="92"/>
      <c r="Z9" s="92"/>
      <c r="AA9" s="114">
        <f t="shared" si="21"/>
        <v>0</v>
      </c>
      <c r="AB9" s="92"/>
      <c r="AC9" s="92"/>
      <c r="AD9" s="114">
        <f t="shared" si="22"/>
        <v>0</v>
      </c>
      <c r="AE9" s="92"/>
      <c r="AF9" s="92"/>
      <c r="AG9" s="114">
        <f t="shared" si="23"/>
        <v>0</v>
      </c>
      <c r="AH9" s="92"/>
      <c r="AI9" s="92"/>
      <c r="AJ9" s="114">
        <f t="shared" si="24"/>
        <v>0</v>
      </c>
      <c r="AK9" s="92"/>
      <c r="AL9" s="92"/>
      <c r="AM9" s="114">
        <f t="shared" si="25"/>
        <v>0</v>
      </c>
      <c r="AN9" s="92"/>
      <c r="AO9" s="92"/>
      <c r="AP9" s="114">
        <f t="shared" si="26"/>
        <v>0</v>
      </c>
      <c r="AQ9" s="92"/>
      <c r="AR9" s="92"/>
      <c r="AS9" s="114">
        <f t="shared" si="27"/>
        <v>0</v>
      </c>
      <c r="AT9" s="92"/>
      <c r="AU9" s="92"/>
      <c r="AV9" s="114">
        <f t="shared" si="28"/>
        <v>0</v>
      </c>
      <c r="AW9" s="92"/>
      <c r="AX9" s="92"/>
      <c r="AY9" s="114">
        <f t="shared" si="29"/>
        <v>0</v>
      </c>
      <c r="AZ9" s="92"/>
      <c r="BA9" s="92"/>
      <c r="BB9" s="114">
        <f t="shared" si="30"/>
        <v>0</v>
      </c>
      <c r="BC9" s="101"/>
      <c r="BD9" s="101"/>
      <c r="BE9" s="114">
        <f t="shared" si="31"/>
        <v>0</v>
      </c>
      <c r="BF9" s="101"/>
      <c r="BG9" s="101"/>
      <c r="BH9" s="114">
        <f t="shared" si="32"/>
        <v>0</v>
      </c>
      <c r="BI9" s="101"/>
      <c r="BJ9" s="101"/>
      <c r="BK9" s="114">
        <f t="shared" si="33"/>
        <v>0</v>
      </c>
      <c r="BL9" s="92"/>
      <c r="BM9" s="92"/>
      <c r="BN9" s="114">
        <f t="shared" si="0"/>
        <v>0</v>
      </c>
      <c r="BO9" s="92"/>
      <c r="BP9" s="92"/>
      <c r="BQ9" s="114">
        <f t="shared" si="1"/>
        <v>0</v>
      </c>
      <c r="BR9" s="92"/>
      <c r="BS9" s="92"/>
      <c r="BT9" s="114">
        <f t="shared" si="2"/>
        <v>0</v>
      </c>
      <c r="BU9" s="92"/>
      <c r="BV9" s="92"/>
      <c r="BW9" s="114">
        <f t="shared" si="3"/>
        <v>0</v>
      </c>
      <c r="BX9" s="92"/>
      <c r="BY9" s="92"/>
      <c r="BZ9" s="114">
        <f t="shared" si="4"/>
        <v>0</v>
      </c>
      <c r="CA9" s="92"/>
      <c r="CB9" s="92"/>
      <c r="CC9" s="114">
        <f t="shared" si="5"/>
        <v>0</v>
      </c>
      <c r="CD9" s="92"/>
      <c r="CE9" s="92"/>
      <c r="CF9" s="114">
        <f t="shared" si="6"/>
        <v>0</v>
      </c>
      <c r="CG9" s="92"/>
      <c r="CH9" s="92"/>
      <c r="CI9" s="114">
        <f t="shared" si="7"/>
        <v>0</v>
      </c>
      <c r="CJ9" s="92"/>
      <c r="CK9" s="92"/>
      <c r="CL9" s="114">
        <f t="shared" si="8"/>
        <v>0</v>
      </c>
      <c r="CM9" s="92"/>
      <c r="CN9" s="92"/>
      <c r="CO9" s="114">
        <f t="shared" si="34"/>
        <v>0</v>
      </c>
      <c r="CP9" s="92"/>
      <c r="CQ9" s="92"/>
      <c r="CR9" s="114">
        <f t="shared" si="9"/>
        <v>0</v>
      </c>
      <c r="CS9" s="92"/>
      <c r="CT9" s="92"/>
      <c r="CU9" s="114">
        <f t="shared" si="10"/>
        <v>0</v>
      </c>
      <c r="CV9" s="92"/>
      <c r="CW9" s="92"/>
      <c r="CX9" s="114">
        <f t="shared" si="11"/>
        <v>0</v>
      </c>
      <c r="CY9" s="92"/>
      <c r="CZ9" s="92"/>
      <c r="DA9" s="114">
        <f t="shared" si="12"/>
        <v>0</v>
      </c>
    </row>
    <row r="10" spans="1:105">
      <c r="A10" s="92"/>
      <c r="B10" s="92"/>
      <c r="C10" s="114">
        <f t="shared" si="13"/>
        <v>0</v>
      </c>
      <c r="D10" s="92"/>
      <c r="E10" s="92"/>
      <c r="F10" s="114">
        <f t="shared" si="14"/>
        <v>0</v>
      </c>
      <c r="G10" s="125">
        <v>0.60347222222222219</v>
      </c>
      <c r="H10" s="125">
        <v>0.66111111111111109</v>
      </c>
      <c r="I10" s="114">
        <f t="shared" si="15"/>
        <v>5.7638888888888906E-2</v>
      </c>
      <c r="J10" s="92"/>
      <c r="K10" s="92"/>
      <c r="L10" s="114">
        <f t="shared" si="16"/>
        <v>0</v>
      </c>
      <c r="M10" s="92"/>
      <c r="N10" s="92"/>
      <c r="O10" s="114">
        <f t="shared" si="17"/>
        <v>0</v>
      </c>
      <c r="P10" s="92"/>
      <c r="Q10" s="92"/>
      <c r="R10" s="114">
        <f t="shared" si="18"/>
        <v>0</v>
      </c>
      <c r="S10" s="92"/>
      <c r="T10" s="92"/>
      <c r="U10" s="114">
        <f t="shared" si="19"/>
        <v>0</v>
      </c>
      <c r="V10" s="92"/>
      <c r="W10" s="92"/>
      <c r="X10" s="114">
        <f t="shared" si="20"/>
        <v>0</v>
      </c>
      <c r="Y10" s="92"/>
      <c r="Z10" s="92"/>
      <c r="AA10" s="114">
        <f t="shared" si="21"/>
        <v>0</v>
      </c>
      <c r="AB10" s="92"/>
      <c r="AC10" s="92"/>
      <c r="AD10" s="114">
        <f t="shared" si="22"/>
        <v>0</v>
      </c>
      <c r="AE10" s="92"/>
      <c r="AF10" s="92"/>
      <c r="AG10" s="114">
        <f t="shared" si="23"/>
        <v>0</v>
      </c>
      <c r="AH10" s="92"/>
      <c r="AI10" s="92"/>
      <c r="AJ10" s="114">
        <f t="shared" si="24"/>
        <v>0</v>
      </c>
      <c r="AK10" s="92"/>
      <c r="AL10" s="92"/>
      <c r="AM10" s="114">
        <f t="shared" si="25"/>
        <v>0</v>
      </c>
      <c r="AN10" s="92"/>
      <c r="AO10" s="92"/>
      <c r="AP10" s="114">
        <f t="shared" si="26"/>
        <v>0</v>
      </c>
      <c r="AQ10" s="92"/>
      <c r="AR10" s="92"/>
      <c r="AS10" s="114">
        <f t="shared" si="27"/>
        <v>0</v>
      </c>
      <c r="AT10" s="92"/>
      <c r="AU10" s="92"/>
      <c r="AV10" s="114">
        <f t="shared" si="28"/>
        <v>0</v>
      </c>
      <c r="AW10" s="92"/>
      <c r="AX10" s="92"/>
      <c r="AY10" s="114">
        <f t="shared" si="29"/>
        <v>0</v>
      </c>
      <c r="AZ10" s="92"/>
      <c r="BA10" s="92"/>
      <c r="BB10" s="114">
        <f t="shared" si="30"/>
        <v>0</v>
      </c>
      <c r="BC10" s="101"/>
      <c r="BD10" s="101"/>
      <c r="BE10" s="114">
        <f t="shared" si="31"/>
        <v>0</v>
      </c>
      <c r="BF10" s="101"/>
      <c r="BG10" s="101"/>
      <c r="BH10" s="114">
        <f t="shared" si="32"/>
        <v>0</v>
      </c>
      <c r="BI10" s="101"/>
      <c r="BJ10" s="101"/>
      <c r="BK10" s="114">
        <f t="shared" si="33"/>
        <v>0</v>
      </c>
      <c r="BL10" s="92"/>
      <c r="BM10" s="92"/>
      <c r="BN10" s="114">
        <f t="shared" si="0"/>
        <v>0</v>
      </c>
      <c r="BO10" s="92"/>
      <c r="BP10" s="92"/>
      <c r="BQ10" s="114">
        <f t="shared" si="1"/>
        <v>0</v>
      </c>
      <c r="BR10" s="92"/>
      <c r="BS10" s="92"/>
      <c r="BT10" s="114">
        <f t="shared" si="2"/>
        <v>0</v>
      </c>
      <c r="BU10" s="92"/>
      <c r="BV10" s="92"/>
      <c r="BW10" s="114">
        <f t="shared" si="3"/>
        <v>0</v>
      </c>
      <c r="BX10" s="92"/>
      <c r="BY10" s="92"/>
      <c r="BZ10" s="114">
        <f t="shared" si="4"/>
        <v>0</v>
      </c>
      <c r="CA10" s="92"/>
      <c r="CB10" s="92"/>
      <c r="CC10" s="114">
        <f t="shared" si="5"/>
        <v>0</v>
      </c>
      <c r="CD10" s="92"/>
      <c r="CE10" s="92"/>
      <c r="CF10" s="114">
        <f t="shared" si="6"/>
        <v>0</v>
      </c>
      <c r="CG10" s="92"/>
      <c r="CH10" s="92"/>
      <c r="CI10" s="114">
        <f t="shared" si="7"/>
        <v>0</v>
      </c>
      <c r="CJ10" s="92"/>
      <c r="CK10" s="92"/>
      <c r="CL10" s="114">
        <f t="shared" si="8"/>
        <v>0</v>
      </c>
      <c r="CM10" s="92"/>
      <c r="CN10" s="92"/>
      <c r="CO10" s="114">
        <f t="shared" si="34"/>
        <v>0</v>
      </c>
      <c r="CP10" s="92"/>
      <c r="CQ10" s="92"/>
      <c r="CR10" s="114">
        <f t="shared" si="9"/>
        <v>0</v>
      </c>
      <c r="CS10" s="92"/>
      <c r="CT10" s="92"/>
      <c r="CU10" s="114">
        <f t="shared" si="10"/>
        <v>0</v>
      </c>
      <c r="CV10" s="92"/>
      <c r="CW10" s="92"/>
      <c r="CX10" s="114">
        <f t="shared" si="11"/>
        <v>0</v>
      </c>
      <c r="CY10" s="92"/>
      <c r="CZ10" s="92"/>
      <c r="DA10" s="114">
        <f t="shared" si="12"/>
        <v>0</v>
      </c>
    </row>
    <row r="11" spans="1:105">
      <c r="A11" s="92"/>
      <c r="B11" s="92"/>
      <c r="C11" s="114">
        <f t="shared" si="13"/>
        <v>0</v>
      </c>
      <c r="D11" s="92"/>
      <c r="E11" s="92"/>
      <c r="F11" s="114">
        <f t="shared" si="14"/>
        <v>0</v>
      </c>
      <c r="G11" s="125">
        <v>0.43055555555555558</v>
      </c>
      <c r="H11" s="125">
        <v>0.5083333333333333</v>
      </c>
      <c r="I11" s="114">
        <f t="shared" si="15"/>
        <v>7.7777777777777724E-2</v>
      </c>
      <c r="J11" s="92"/>
      <c r="K11" s="92"/>
      <c r="L11" s="114">
        <f t="shared" si="16"/>
        <v>0</v>
      </c>
      <c r="M11" s="92"/>
      <c r="N11" s="92"/>
      <c r="O11" s="114">
        <f t="shared" si="17"/>
        <v>0</v>
      </c>
      <c r="P11" s="92"/>
      <c r="Q11" s="92"/>
      <c r="R11" s="114">
        <f t="shared" si="18"/>
        <v>0</v>
      </c>
      <c r="S11" s="92"/>
      <c r="T11" s="92"/>
      <c r="U11" s="114">
        <f t="shared" si="19"/>
        <v>0</v>
      </c>
      <c r="V11" s="92"/>
      <c r="W11" s="92"/>
      <c r="X11" s="114">
        <f t="shared" si="20"/>
        <v>0</v>
      </c>
      <c r="Y11" s="92"/>
      <c r="Z11" s="92"/>
      <c r="AA11" s="114">
        <f t="shared" si="21"/>
        <v>0</v>
      </c>
      <c r="AB11" s="92"/>
      <c r="AC11" s="92"/>
      <c r="AD11" s="114">
        <f t="shared" si="22"/>
        <v>0</v>
      </c>
      <c r="AE11" s="92"/>
      <c r="AF11" s="92"/>
      <c r="AG11" s="114">
        <f t="shared" si="23"/>
        <v>0</v>
      </c>
      <c r="AH11" s="92"/>
      <c r="AI11" s="92"/>
      <c r="AJ11" s="114">
        <f t="shared" si="24"/>
        <v>0</v>
      </c>
      <c r="AK11" s="92"/>
      <c r="AL11" s="92"/>
      <c r="AM11" s="114">
        <f t="shared" si="25"/>
        <v>0</v>
      </c>
      <c r="AN11" s="92"/>
      <c r="AO11" s="92"/>
      <c r="AP11" s="114">
        <f t="shared" si="26"/>
        <v>0</v>
      </c>
      <c r="AQ11" s="92"/>
      <c r="AR11" s="92"/>
      <c r="AS11" s="114">
        <f t="shared" si="27"/>
        <v>0</v>
      </c>
      <c r="AT11" s="92"/>
      <c r="AU11" s="92"/>
      <c r="AV11" s="114">
        <f t="shared" si="28"/>
        <v>0</v>
      </c>
      <c r="AW11" s="92"/>
      <c r="AX11" s="92"/>
      <c r="AY11" s="114">
        <f t="shared" si="29"/>
        <v>0</v>
      </c>
      <c r="AZ11" s="92"/>
      <c r="BA11" s="92"/>
      <c r="BB11" s="114">
        <f t="shared" si="30"/>
        <v>0</v>
      </c>
      <c r="BC11" s="101"/>
      <c r="BD11" s="101"/>
      <c r="BE11" s="114">
        <f t="shared" si="31"/>
        <v>0</v>
      </c>
      <c r="BF11" s="101"/>
      <c r="BG11" s="101"/>
      <c r="BH11" s="114">
        <f t="shared" si="32"/>
        <v>0</v>
      </c>
      <c r="BI11" s="101"/>
      <c r="BJ11" s="101"/>
      <c r="BK11" s="114">
        <f t="shared" si="33"/>
        <v>0</v>
      </c>
      <c r="BL11" s="92"/>
      <c r="BM11" s="92"/>
      <c r="BN11" s="114">
        <f t="shared" si="0"/>
        <v>0</v>
      </c>
      <c r="BO11" s="92"/>
      <c r="BP11" s="92"/>
      <c r="BQ11" s="114">
        <f t="shared" si="1"/>
        <v>0</v>
      </c>
      <c r="BR11" s="92"/>
      <c r="BS11" s="92"/>
      <c r="BT11" s="114">
        <f t="shared" si="2"/>
        <v>0</v>
      </c>
      <c r="BU11" s="92"/>
      <c r="BV11" s="92"/>
      <c r="BW11" s="114">
        <f t="shared" si="3"/>
        <v>0</v>
      </c>
      <c r="BX11" s="92"/>
      <c r="BY11" s="92"/>
      <c r="BZ11" s="114">
        <f t="shared" si="4"/>
        <v>0</v>
      </c>
      <c r="CA11" s="92"/>
      <c r="CB11" s="92"/>
      <c r="CC11" s="114">
        <f t="shared" si="5"/>
        <v>0</v>
      </c>
      <c r="CD11" s="92"/>
      <c r="CE11" s="92"/>
      <c r="CF11" s="114">
        <f t="shared" si="6"/>
        <v>0</v>
      </c>
      <c r="CG11" s="92"/>
      <c r="CH11" s="92"/>
      <c r="CI11" s="114">
        <f t="shared" si="7"/>
        <v>0</v>
      </c>
      <c r="CJ11" s="92"/>
      <c r="CK11" s="92"/>
      <c r="CL11" s="114">
        <f t="shared" si="8"/>
        <v>0</v>
      </c>
      <c r="CM11" s="92"/>
      <c r="CN11" s="92"/>
      <c r="CO11" s="114">
        <f t="shared" si="34"/>
        <v>0</v>
      </c>
      <c r="CP11" s="92"/>
      <c r="CQ11" s="92"/>
      <c r="CR11" s="114">
        <f t="shared" si="9"/>
        <v>0</v>
      </c>
      <c r="CS11" s="92"/>
      <c r="CT11" s="92"/>
      <c r="CU11" s="114">
        <f t="shared" si="10"/>
        <v>0</v>
      </c>
      <c r="CV11" s="92"/>
      <c r="CW11" s="92"/>
      <c r="CX11" s="114">
        <f t="shared" si="11"/>
        <v>0</v>
      </c>
      <c r="CY11" s="92"/>
      <c r="CZ11" s="92"/>
      <c r="DA11" s="114">
        <f t="shared" si="12"/>
        <v>0</v>
      </c>
    </row>
    <row r="12" spans="1:105">
      <c r="A12" s="92"/>
      <c r="B12" s="92"/>
      <c r="C12" s="114">
        <f t="shared" si="13"/>
        <v>0</v>
      </c>
      <c r="D12" s="92"/>
      <c r="E12" s="92"/>
      <c r="F12" s="114">
        <f t="shared" si="14"/>
        <v>0</v>
      </c>
      <c r="G12" s="125">
        <v>0.55000000000000004</v>
      </c>
      <c r="H12" s="125">
        <v>0.60347222222222219</v>
      </c>
      <c r="I12" s="114">
        <f t="shared" si="15"/>
        <v>5.3472222222222143E-2</v>
      </c>
      <c r="J12" s="92"/>
      <c r="K12" s="92"/>
      <c r="L12" s="114">
        <f t="shared" si="16"/>
        <v>0</v>
      </c>
      <c r="M12" s="92"/>
      <c r="N12" s="92"/>
      <c r="O12" s="114">
        <f t="shared" si="17"/>
        <v>0</v>
      </c>
      <c r="P12" s="92"/>
      <c r="Q12" s="92"/>
      <c r="R12" s="114">
        <f t="shared" si="18"/>
        <v>0</v>
      </c>
      <c r="S12" s="92"/>
      <c r="T12" s="92"/>
      <c r="U12" s="114">
        <f t="shared" si="19"/>
        <v>0</v>
      </c>
      <c r="V12" s="92"/>
      <c r="W12" s="92"/>
      <c r="X12" s="114">
        <f t="shared" si="20"/>
        <v>0</v>
      </c>
      <c r="Y12" s="92"/>
      <c r="Z12" s="92"/>
      <c r="AA12" s="114">
        <f t="shared" si="21"/>
        <v>0</v>
      </c>
      <c r="AB12" s="92"/>
      <c r="AC12" s="92"/>
      <c r="AD12" s="114">
        <f t="shared" si="22"/>
        <v>0</v>
      </c>
      <c r="AE12" s="92"/>
      <c r="AF12" s="92"/>
      <c r="AG12" s="114">
        <f t="shared" si="23"/>
        <v>0</v>
      </c>
      <c r="AH12" s="92"/>
      <c r="AI12" s="92"/>
      <c r="AJ12" s="114">
        <f t="shared" si="24"/>
        <v>0</v>
      </c>
      <c r="AK12" s="92"/>
      <c r="AL12" s="92"/>
      <c r="AM12" s="114">
        <f t="shared" si="25"/>
        <v>0</v>
      </c>
      <c r="AN12" s="92"/>
      <c r="AO12" s="92"/>
      <c r="AP12" s="114">
        <f t="shared" si="26"/>
        <v>0</v>
      </c>
      <c r="AQ12" s="92"/>
      <c r="AR12" s="92"/>
      <c r="AS12" s="114">
        <f t="shared" si="27"/>
        <v>0</v>
      </c>
      <c r="AT12" s="92"/>
      <c r="AU12" s="92"/>
      <c r="AV12" s="114">
        <f t="shared" si="28"/>
        <v>0</v>
      </c>
      <c r="AW12" s="92"/>
      <c r="AX12" s="92"/>
      <c r="AY12" s="114">
        <f t="shared" si="29"/>
        <v>0</v>
      </c>
      <c r="AZ12" s="92"/>
      <c r="BA12" s="92"/>
      <c r="BB12" s="114">
        <f t="shared" si="30"/>
        <v>0</v>
      </c>
      <c r="BC12" s="101"/>
      <c r="BD12" s="101"/>
      <c r="BE12" s="114">
        <f t="shared" si="31"/>
        <v>0</v>
      </c>
      <c r="BF12" s="101"/>
      <c r="BG12" s="101"/>
      <c r="BH12" s="114">
        <f t="shared" si="32"/>
        <v>0</v>
      </c>
      <c r="BI12" s="101"/>
      <c r="BJ12" s="101"/>
      <c r="BK12" s="114">
        <f t="shared" si="33"/>
        <v>0</v>
      </c>
      <c r="BL12" s="92"/>
      <c r="BM12" s="92"/>
      <c r="BN12" s="114">
        <f t="shared" si="0"/>
        <v>0</v>
      </c>
      <c r="BO12" s="92"/>
      <c r="BP12" s="92"/>
      <c r="BQ12" s="114">
        <f t="shared" si="1"/>
        <v>0</v>
      </c>
      <c r="BR12" s="92"/>
      <c r="BS12" s="92"/>
      <c r="BT12" s="114">
        <f t="shared" si="2"/>
        <v>0</v>
      </c>
      <c r="BU12" s="92"/>
      <c r="BV12" s="92"/>
      <c r="BW12" s="114">
        <f t="shared" si="3"/>
        <v>0</v>
      </c>
      <c r="BX12" s="92"/>
      <c r="BY12" s="92"/>
      <c r="BZ12" s="114">
        <f t="shared" si="4"/>
        <v>0</v>
      </c>
      <c r="CA12" s="92"/>
      <c r="CB12" s="92"/>
      <c r="CC12" s="114">
        <f t="shared" si="5"/>
        <v>0</v>
      </c>
      <c r="CD12" s="92"/>
      <c r="CE12" s="92"/>
      <c r="CF12" s="114">
        <f t="shared" si="6"/>
        <v>0</v>
      </c>
      <c r="CG12" s="92"/>
      <c r="CH12" s="92"/>
      <c r="CI12" s="114">
        <f t="shared" si="7"/>
        <v>0</v>
      </c>
      <c r="CJ12" s="92"/>
      <c r="CK12" s="92"/>
      <c r="CL12" s="114">
        <f t="shared" si="8"/>
        <v>0</v>
      </c>
      <c r="CM12" s="92"/>
      <c r="CN12" s="92"/>
      <c r="CO12" s="114">
        <f t="shared" si="34"/>
        <v>0</v>
      </c>
      <c r="CP12" s="92"/>
      <c r="CQ12" s="92"/>
      <c r="CR12" s="114">
        <f t="shared" si="9"/>
        <v>0</v>
      </c>
      <c r="CS12" s="92"/>
      <c r="CT12" s="92"/>
      <c r="CU12" s="114">
        <f t="shared" si="10"/>
        <v>0</v>
      </c>
      <c r="CV12" s="92"/>
      <c r="CW12" s="92"/>
      <c r="CX12" s="114">
        <f t="shared" si="11"/>
        <v>0</v>
      </c>
      <c r="CY12" s="92"/>
      <c r="CZ12" s="92"/>
      <c r="DA12" s="114">
        <f t="shared" si="12"/>
        <v>0</v>
      </c>
    </row>
    <row r="13" spans="1:105">
      <c r="A13" s="92"/>
      <c r="B13" s="92"/>
      <c r="C13" s="114">
        <f t="shared" si="13"/>
        <v>0</v>
      </c>
      <c r="D13" s="92"/>
      <c r="E13" s="92"/>
      <c r="F13" s="114">
        <f t="shared" si="14"/>
        <v>0</v>
      </c>
      <c r="G13" s="149">
        <v>0.33333333333333331</v>
      </c>
      <c r="H13" s="149">
        <v>0.45833333333333331</v>
      </c>
      <c r="I13" s="114">
        <f t="shared" si="15"/>
        <v>0.125</v>
      </c>
      <c r="J13" s="92"/>
      <c r="K13" s="92"/>
      <c r="L13" s="114">
        <f t="shared" si="16"/>
        <v>0</v>
      </c>
      <c r="M13" s="92"/>
      <c r="N13" s="92"/>
      <c r="O13" s="114">
        <f t="shared" si="17"/>
        <v>0</v>
      </c>
      <c r="P13" s="92"/>
      <c r="Q13" s="92"/>
      <c r="R13" s="114">
        <f t="shared" si="18"/>
        <v>0</v>
      </c>
      <c r="S13" s="92"/>
      <c r="T13" s="92"/>
      <c r="U13" s="114">
        <f t="shared" si="19"/>
        <v>0</v>
      </c>
      <c r="V13" s="92"/>
      <c r="W13" s="92"/>
      <c r="X13" s="114">
        <f t="shared" si="20"/>
        <v>0</v>
      </c>
      <c r="Y13" s="92"/>
      <c r="Z13" s="92"/>
      <c r="AA13" s="114">
        <f t="shared" si="21"/>
        <v>0</v>
      </c>
      <c r="AB13" s="92"/>
      <c r="AC13" s="92"/>
      <c r="AD13" s="114">
        <f t="shared" si="22"/>
        <v>0</v>
      </c>
      <c r="AE13" s="92"/>
      <c r="AF13" s="92"/>
      <c r="AG13" s="114">
        <f t="shared" si="23"/>
        <v>0</v>
      </c>
      <c r="AH13" s="92"/>
      <c r="AI13" s="92"/>
      <c r="AJ13" s="114">
        <f t="shared" si="24"/>
        <v>0</v>
      </c>
      <c r="AK13" s="92"/>
      <c r="AL13" s="92"/>
      <c r="AM13" s="114">
        <f t="shared" si="25"/>
        <v>0</v>
      </c>
      <c r="AN13" s="92"/>
      <c r="AO13" s="92"/>
      <c r="AP13" s="114">
        <f t="shared" si="26"/>
        <v>0</v>
      </c>
      <c r="AQ13" s="92"/>
      <c r="AR13" s="92"/>
      <c r="AS13" s="114">
        <f t="shared" si="27"/>
        <v>0</v>
      </c>
      <c r="AT13" s="92"/>
      <c r="AU13" s="92"/>
      <c r="AV13" s="114">
        <f t="shared" si="28"/>
        <v>0</v>
      </c>
      <c r="AW13" s="92"/>
      <c r="AX13" s="92"/>
      <c r="AY13" s="114">
        <f t="shared" si="29"/>
        <v>0</v>
      </c>
      <c r="AZ13" s="92"/>
      <c r="BA13" s="92"/>
      <c r="BB13" s="114">
        <f t="shared" si="30"/>
        <v>0</v>
      </c>
      <c r="BC13" s="101"/>
      <c r="BD13" s="101"/>
      <c r="BE13" s="114">
        <f t="shared" si="31"/>
        <v>0</v>
      </c>
      <c r="BF13" s="101"/>
      <c r="BG13" s="101"/>
      <c r="BH13" s="114">
        <f t="shared" si="32"/>
        <v>0</v>
      </c>
      <c r="BI13" s="101"/>
      <c r="BJ13" s="101"/>
      <c r="BK13" s="114">
        <f t="shared" si="33"/>
        <v>0</v>
      </c>
      <c r="BL13" s="92"/>
      <c r="BM13" s="92"/>
      <c r="BN13" s="114">
        <f t="shared" si="0"/>
        <v>0</v>
      </c>
      <c r="BO13" s="92"/>
      <c r="BP13" s="92"/>
      <c r="BQ13" s="114">
        <f t="shared" si="1"/>
        <v>0</v>
      </c>
      <c r="BR13" s="92"/>
      <c r="BS13" s="92"/>
      <c r="BT13" s="114">
        <f t="shared" si="2"/>
        <v>0</v>
      </c>
      <c r="BU13" s="92"/>
      <c r="BV13" s="92"/>
      <c r="BW13" s="114">
        <f t="shared" si="3"/>
        <v>0</v>
      </c>
      <c r="BX13" s="92"/>
      <c r="BY13" s="92"/>
      <c r="BZ13" s="114">
        <f t="shared" si="4"/>
        <v>0</v>
      </c>
      <c r="CA13" s="92"/>
      <c r="CB13" s="92"/>
      <c r="CC13" s="114">
        <f t="shared" si="5"/>
        <v>0</v>
      </c>
      <c r="CD13" s="92"/>
      <c r="CE13" s="92"/>
      <c r="CF13" s="114">
        <f t="shared" si="6"/>
        <v>0</v>
      </c>
      <c r="CG13" s="92"/>
      <c r="CH13" s="92"/>
      <c r="CI13" s="114">
        <f t="shared" si="7"/>
        <v>0</v>
      </c>
      <c r="CJ13" s="92"/>
      <c r="CK13" s="92"/>
      <c r="CL13" s="114">
        <f t="shared" si="8"/>
        <v>0</v>
      </c>
      <c r="CM13" s="92"/>
      <c r="CN13" s="92"/>
      <c r="CO13" s="114">
        <f t="shared" si="34"/>
        <v>0</v>
      </c>
      <c r="CP13" s="92"/>
      <c r="CQ13" s="92"/>
      <c r="CR13" s="114">
        <f t="shared" si="9"/>
        <v>0</v>
      </c>
      <c r="CS13" s="92"/>
      <c r="CT13" s="92"/>
      <c r="CU13" s="114">
        <f t="shared" si="10"/>
        <v>0</v>
      </c>
      <c r="CV13" s="92"/>
      <c r="CW13" s="92"/>
      <c r="CX13" s="114">
        <f t="shared" si="11"/>
        <v>0</v>
      </c>
      <c r="CY13" s="92"/>
      <c r="CZ13" s="92"/>
      <c r="DA13" s="114">
        <f t="shared" si="12"/>
        <v>0</v>
      </c>
    </row>
    <row r="14" spans="1:105">
      <c r="A14" s="92"/>
      <c r="B14" s="92"/>
      <c r="C14" s="114">
        <f t="shared" si="13"/>
        <v>0</v>
      </c>
      <c r="D14" s="92"/>
      <c r="E14" s="92"/>
      <c r="F14" s="114">
        <f t="shared" si="14"/>
        <v>0</v>
      </c>
      <c r="I14" s="114">
        <f t="shared" si="15"/>
        <v>0</v>
      </c>
      <c r="J14" s="92"/>
      <c r="K14" s="92"/>
      <c r="L14" s="114">
        <f t="shared" si="16"/>
        <v>0</v>
      </c>
      <c r="M14" s="92"/>
      <c r="N14" s="92"/>
      <c r="O14" s="114">
        <f t="shared" si="17"/>
        <v>0</v>
      </c>
      <c r="P14" s="138"/>
      <c r="Q14" s="138"/>
      <c r="R14" s="114">
        <f t="shared" si="18"/>
        <v>0</v>
      </c>
      <c r="S14" s="92"/>
      <c r="T14" s="92"/>
      <c r="U14" s="114">
        <f t="shared" si="19"/>
        <v>0</v>
      </c>
      <c r="V14" s="92"/>
      <c r="W14" s="92"/>
      <c r="X14" s="114">
        <f t="shared" si="20"/>
        <v>0</v>
      </c>
      <c r="Y14" s="92"/>
      <c r="Z14" s="92"/>
      <c r="AA14" s="114">
        <f t="shared" si="21"/>
        <v>0</v>
      </c>
      <c r="AB14" s="92"/>
      <c r="AC14" s="92"/>
      <c r="AD14" s="114">
        <f t="shared" si="22"/>
        <v>0</v>
      </c>
      <c r="AE14" s="92"/>
      <c r="AF14" s="92"/>
      <c r="AG14" s="114">
        <f t="shared" si="23"/>
        <v>0</v>
      </c>
      <c r="AH14" s="92"/>
      <c r="AI14" s="92"/>
      <c r="AJ14" s="114">
        <f t="shared" si="24"/>
        <v>0</v>
      </c>
      <c r="AK14" s="92"/>
      <c r="AL14" s="92"/>
      <c r="AM14" s="114">
        <f t="shared" si="25"/>
        <v>0</v>
      </c>
      <c r="AN14" s="92"/>
      <c r="AO14" s="92"/>
      <c r="AP14" s="114">
        <f t="shared" si="26"/>
        <v>0</v>
      </c>
      <c r="AQ14" s="92"/>
      <c r="AR14" s="92"/>
      <c r="AS14" s="114">
        <f t="shared" si="27"/>
        <v>0</v>
      </c>
      <c r="AT14" s="92"/>
      <c r="AU14" s="92"/>
      <c r="AV14" s="114">
        <f t="shared" si="28"/>
        <v>0</v>
      </c>
      <c r="AW14" s="92"/>
      <c r="AX14" s="92"/>
      <c r="AY14" s="114">
        <f t="shared" si="29"/>
        <v>0</v>
      </c>
      <c r="AZ14" s="92"/>
      <c r="BA14" s="92"/>
      <c r="BB14" s="114">
        <f t="shared" si="30"/>
        <v>0</v>
      </c>
      <c r="BC14" s="101"/>
      <c r="BD14" s="101"/>
      <c r="BE14" s="114">
        <f t="shared" si="31"/>
        <v>0</v>
      </c>
      <c r="BF14" s="101"/>
      <c r="BG14" s="101"/>
      <c r="BH14" s="114">
        <f t="shared" si="32"/>
        <v>0</v>
      </c>
      <c r="BI14" s="101"/>
      <c r="BJ14" s="101"/>
      <c r="BK14" s="114">
        <f t="shared" si="33"/>
        <v>0</v>
      </c>
      <c r="BL14" s="92"/>
      <c r="BM14" s="92"/>
      <c r="BN14" s="114">
        <f t="shared" si="0"/>
        <v>0</v>
      </c>
      <c r="BO14" s="92"/>
      <c r="BP14" s="92"/>
      <c r="BQ14" s="114">
        <f t="shared" si="1"/>
        <v>0</v>
      </c>
      <c r="BR14" s="92"/>
      <c r="BS14" s="92"/>
      <c r="BT14" s="114">
        <f t="shared" si="2"/>
        <v>0</v>
      </c>
      <c r="BU14" s="92"/>
      <c r="BV14" s="92"/>
      <c r="BW14" s="114">
        <f t="shared" si="3"/>
        <v>0</v>
      </c>
      <c r="BX14" s="92"/>
      <c r="BY14" s="92"/>
      <c r="BZ14" s="114">
        <f t="shared" si="4"/>
        <v>0</v>
      </c>
      <c r="CA14" s="92"/>
      <c r="CB14" s="92"/>
      <c r="CC14" s="114">
        <f t="shared" si="5"/>
        <v>0</v>
      </c>
      <c r="CD14" s="92"/>
      <c r="CE14" s="92"/>
      <c r="CF14" s="114">
        <f t="shared" si="6"/>
        <v>0</v>
      </c>
      <c r="CG14" s="92"/>
      <c r="CH14" s="92"/>
      <c r="CI14" s="114">
        <f t="shared" si="7"/>
        <v>0</v>
      </c>
      <c r="CJ14" s="92"/>
      <c r="CK14" s="92"/>
      <c r="CL14" s="114">
        <f t="shared" si="8"/>
        <v>0</v>
      </c>
      <c r="CM14" s="92"/>
      <c r="CN14" s="92"/>
      <c r="CO14" s="114">
        <f t="shared" si="34"/>
        <v>0</v>
      </c>
      <c r="CP14" s="92"/>
      <c r="CQ14" s="92"/>
      <c r="CR14" s="114">
        <f t="shared" si="9"/>
        <v>0</v>
      </c>
      <c r="CS14" s="92"/>
      <c r="CT14" s="92"/>
      <c r="CU14" s="114">
        <f t="shared" si="10"/>
        <v>0</v>
      </c>
      <c r="CV14" s="92"/>
      <c r="CW14" s="92"/>
      <c r="CX14" s="114">
        <f t="shared" si="11"/>
        <v>0</v>
      </c>
      <c r="CY14" s="92"/>
      <c r="CZ14" s="92"/>
      <c r="DA14" s="114">
        <f t="shared" si="12"/>
        <v>0</v>
      </c>
    </row>
    <row r="15" spans="1:105">
      <c r="A15" s="92"/>
      <c r="B15" s="92"/>
      <c r="C15" s="114">
        <f t="shared" si="13"/>
        <v>0</v>
      </c>
      <c r="D15" s="92"/>
      <c r="E15" s="92"/>
      <c r="F15" s="114">
        <f t="shared" si="14"/>
        <v>0</v>
      </c>
      <c r="G15" s="92"/>
      <c r="H15" s="92"/>
      <c r="I15" s="114">
        <f t="shared" si="15"/>
        <v>0</v>
      </c>
      <c r="J15" s="92"/>
      <c r="K15" s="92"/>
      <c r="L15" s="114">
        <f t="shared" si="16"/>
        <v>0</v>
      </c>
      <c r="M15" s="92"/>
      <c r="N15" s="92"/>
      <c r="O15" s="136">
        <f t="shared" si="17"/>
        <v>0</v>
      </c>
      <c r="P15" s="135"/>
      <c r="Q15" s="135"/>
      <c r="R15" s="137">
        <f t="shared" si="18"/>
        <v>0</v>
      </c>
      <c r="S15" s="92"/>
      <c r="T15" s="92"/>
      <c r="U15" s="114">
        <f t="shared" si="19"/>
        <v>0</v>
      </c>
      <c r="V15" s="92"/>
      <c r="W15" s="92"/>
      <c r="X15" s="114">
        <f t="shared" si="20"/>
        <v>0</v>
      </c>
      <c r="Y15" s="92"/>
      <c r="Z15" s="92"/>
      <c r="AA15" s="114">
        <f t="shared" si="21"/>
        <v>0</v>
      </c>
      <c r="AB15" s="92"/>
      <c r="AC15" s="92"/>
      <c r="AD15" s="114">
        <f t="shared" si="22"/>
        <v>0</v>
      </c>
      <c r="AE15" s="92"/>
      <c r="AF15" s="92"/>
      <c r="AG15" s="114">
        <f t="shared" si="23"/>
        <v>0</v>
      </c>
      <c r="AH15" s="92"/>
      <c r="AI15" s="92"/>
      <c r="AJ15" s="114">
        <f t="shared" si="24"/>
        <v>0</v>
      </c>
      <c r="AK15" s="92"/>
      <c r="AL15" s="92"/>
      <c r="AM15" s="114">
        <f t="shared" si="25"/>
        <v>0</v>
      </c>
      <c r="AP15" s="114">
        <f>AO4-AN4</f>
        <v>3.8888888888888917E-2</v>
      </c>
      <c r="AQ15" s="92"/>
      <c r="AR15" s="92"/>
      <c r="AS15" s="114">
        <f t="shared" si="27"/>
        <v>0</v>
      </c>
      <c r="AT15" s="92"/>
      <c r="AU15" s="92"/>
      <c r="AV15" s="114">
        <f t="shared" si="28"/>
        <v>0</v>
      </c>
      <c r="AW15" s="92"/>
      <c r="AX15" s="92"/>
      <c r="AY15" s="114">
        <f t="shared" si="29"/>
        <v>0</v>
      </c>
      <c r="AZ15" s="92"/>
      <c r="BA15" s="92"/>
      <c r="BB15" s="114">
        <f t="shared" si="30"/>
        <v>0</v>
      </c>
      <c r="BC15" s="101"/>
      <c r="BD15" s="101"/>
      <c r="BE15" s="114">
        <f t="shared" si="31"/>
        <v>0</v>
      </c>
      <c r="BF15" s="101"/>
      <c r="BG15" s="101"/>
      <c r="BH15" s="114">
        <f t="shared" si="32"/>
        <v>0</v>
      </c>
      <c r="BI15" s="131">
        <v>0.36388888888888887</v>
      </c>
      <c r="BJ15" s="131">
        <v>0.40069444444444446</v>
      </c>
      <c r="BK15" s="114">
        <f t="shared" si="33"/>
        <v>3.6805555555555591E-2</v>
      </c>
      <c r="BL15" s="92"/>
      <c r="BM15" s="92"/>
      <c r="BN15" s="114">
        <f t="shared" si="0"/>
        <v>0</v>
      </c>
      <c r="BO15" s="92"/>
      <c r="BP15" s="92"/>
      <c r="BQ15" s="114">
        <f t="shared" si="1"/>
        <v>0</v>
      </c>
      <c r="BR15" s="92"/>
      <c r="BS15" s="92"/>
      <c r="BT15" s="114">
        <f t="shared" si="2"/>
        <v>0</v>
      </c>
      <c r="BU15" s="92"/>
      <c r="BV15" s="92"/>
      <c r="BW15" s="114">
        <f t="shared" si="3"/>
        <v>0</v>
      </c>
      <c r="BX15" s="92"/>
      <c r="BY15" s="92"/>
      <c r="BZ15" s="114">
        <f t="shared" si="4"/>
        <v>0</v>
      </c>
      <c r="CA15" s="92"/>
      <c r="CB15" s="92"/>
      <c r="CC15" s="114">
        <f t="shared" si="5"/>
        <v>0</v>
      </c>
      <c r="CD15" s="92"/>
      <c r="CE15" s="92"/>
      <c r="CF15" s="114">
        <f t="shared" si="6"/>
        <v>0</v>
      </c>
      <c r="CG15" s="92"/>
      <c r="CH15" s="92"/>
      <c r="CI15" s="114">
        <f t="shared" si="7"/>
        <v>0</v>
      </c>
      <c r="CJ15" s="92"/>
      <c r="CK15" s="92"/>
      <c r="CL15" s="114">
        <f t="shared" si="8"/>
        <v>0</v>
      </c>
      <c r="CM15" s="92"/>
      <c r="CN15" s="92"/>
      <c r="CO15" s="114">
        <f t="shared" si="34"/>
        <v>0</v>
      </c>
      <c r="CP15" s="131">
        <v>0.47916666666666669</v>
      </c>
      <c r="CQ15" s="131">
        <v>0.49861111111111112</v>
      </c>
      <c r="CR15" s="114">
        <f t="shared" si="9"/>
        <v>1.9444444444444431E-2</v>
      </c>
      <c r="CS15" s="92"/>
      <c r="CT15" s="92"/>
      <c r="CU15" s="114">
        <f t="shared" si="10"/>
        <v>0</v>
      </c>
      <c r="CV15" s="92"/>
      <c r="CW15" s="92"/>
      <c r="CX15" s="114">
        <f t="shared" si="11"/>
        <v>0</v>
      </c>
      <c r="CY15" s="92"/>
      <c r="CZ15" s="92"/>
      <c r="DA15" s="114">
        <f t="shared" si="12"/>
        <v>0</v>
      </c>
    </row>
    <row r="16" spans="1:105">
      <c r="A16" s="92"/>
      <c r="B16" s="92"/>
      <c r="C16" s="114">
        <f t="shared" si="13"/>
        <v>0</v>
      </c>
      <c r="D16" s="92"/>
      <c r="E16" s="92"/>
      <c r="F16" s="114">
        <f t="shared" si="14"/>
        <v>0</v>
      </c>
      <c r="G16" s="92"/>
      <c r="H16" s="92"/>
      <c r="I16" s="114">
        <f t="shared" si="15"/>
        <v>0</v>
      </c>
      <c r="J16" s="92"/>
      <c r="K16" s="92"/>
      <c r="L16" s="114">
        <f t="shared" si="16"/>
        <v>0</v>
      </c>
      <c r="M16" s="92"/>
      <c r="N16" s="92"/>
      <c r="O16" s="136">
        <f t="shared" si="17"/>
        <v>0</v>
      </c>
      <c r="P16" s="135"/>
      <c r="Q16" s="135"/>
      <c r="R16" s="137">
        <f t="shared" si="18"/>
        <v>0</v>
      </c>
      <c r="S16" s="92"/>
      <c r="T16" s="92"/>
      <c r="U16" s="114">
        <f t="shared" si="19"/>
        <v>0</v>
      </c>
      <c r="V16" s="92"/>
      <c r="W16" s="92"/>
      <c r="X16" s="114">
        <f t="shared" si="20"/>
        <v>0</v>
      </c>
      <c r="Y16" s="92"/>
      <c r="Z16" s="92"/>
      <c r="AA16" s="114">
        <f t="shared" si="21"/>
        <v>0</v>
      </c>
      <c r="AB16" s="92"/>
      <c r="AC16" s="92"/>
      <c r="AD16" s="114">
        <f t="shared" si="22"/>
        <v>0</v>
      </c>
      <c r="AE16" s="92"/>
      <c r="AF16" s="92"/>
      <c r="AG16" s="114">
        <f t="shared" si="23"/>
        <v>0</v>
      </c>
      <c r="AH16" s="92"/>
      <c r="AI16" s="92"/>
      <c r="AJ16" s="114">
        <f t="shared" si="24"/>
        <v>0</v>
      </c>
      <c r="AK16" s="92"/>
      <c r="AL16" s="92"/>
      <c r="AM16" s="114">
        <f t="shared" si="25"/>
        <v>0</v>
      </c>
      <c r="AN16" s="92"/>
      <c r="AO16" s="92"/>
      <c r="AP16" s="114">
        <f t="shared" si="26"/>
        <v>0</v>
      </c>
      <c r="AQ16" s="92"/>
      <c r="AR16" s="92"/>
      <c r="AS16" s="114">
        <f t="shared" si="27"/>
        <v>0</v>
      </c>
      <c r="AT16" s="92"/>
      <c r="AU16" s="92"/>
      <c r="AV16" s="114">
        <f t="shared" si="28"/>
        <v>0</v>
      </c>
      <c r="AW16" s="92"/>
      <c r="AX16" s="92"/>
      <c r="AY16" s="114">
        <f t="shared" si="29"/>
        <v>0</v>
      </c>
      <c r="AZ16" s="92"/>
      <c r="BA16" s="92"/>
      <c r="BB16" s="114">
        <f t="shared" si="30"/>
        <v>0</v>
      </c>
      <c r="BC16" s="101"/>
      <c r="BD16" s="101"/>
      <c r="BE16" s="114">
        <f t="shared" si="31"/>
        <v>0</v>
      </c>
      <c r="BF16" s="101"/>
      <c r="BG16" s="101"/>
      <c r="BH16" s="114">
        <f t="shared" si="32"/>
        <v>0</v>
      </c>
      <c r="BI16" s="101"/>
      <c r="BJ16" s="101"/>
      <c r="BK16" s="114">
        <f t="shared" si="33"/>
        <v>0</v>
      </c>
      <c r="BL16" s="92"/>
      <c r="BM16" s="92"/>
      <c r="BN16" s="114">
        <f t="shared" si="0"/>
        <v>0</v>
      </c>
      <c r="BO16" s="92"/>
      <c r="BP16" s="92"/>
      <c r="BQ16" s="114">
        <f t="shared" si="1"/>
        <v>0</v>
      </c>
      <c r="BR16" s="92"/>
      <c r="BS16" s="92"/>
      <c r="BT16" s="114">
        <f t="shared" si="2"/>
        <v>0</v>
      </c>
      <c r="BU16" s="92"/>
      <c r="BV16" s="92"/>
      <c r="BW16" s="114">
        <f t="shared" si="3"/>
        <v>0</v>
      </c>
      <c r="BX16" s="92"/>
      <c r="BY16" s="92"/>
      <c r="BZ16" s="114">
        <f t="shared" si="4"/>
        <v>0</v>
      </c>
      <c r="CA16" s="92"/>
      <c r="CB16" s="92"/>
      <c r="CC16" s="114">
        <f t="shared" si="5"/>
        <v>0</v>
      </c>
      <c r="CD16" s="92"/>
      <c r="CE16" s="92"/>
      <c r="CF16" s="114">
        <f t="shared" si="6"/>
        <v>0</v>
      </c>
      <c r="CG16" s="92"/>
      <c r="CH16" s="92"/>
      <c r="CI16" s="114">
        <f t="shared" si="7"/>
        <v>0</v>
      </c>
      <c r="CJ16" s="92"/>
      <c r="CK16" s="92"/>
      <c r="CL16" s="114">
        <f t="shared" si="8"/>
        <v>0</v>
      </c>
      <c r="CM16" s="92"/>
      <c r="CN16" s="92"/>
      <c r="CO16" s="114">
        <f t="shared" si="34"/>
        <v>0</v>
      </c>
      <c r="CP16" s="131">
        <v>0.40069444444444446</v>
      </c>
      <c r="CQ16" s="131">
        <v>0.4201388888888889</v>
      </c>
      <c r="CR16" s="114">
        <f t="shared" si="9"/>
        <v>1.9444444444444431E-2</v>
      </c>
      <c r="CS16" s="92"/>
      <c r="CT16" s="92"/>
      <c r="CU16" s="114">
        <f t="shared" si="10"/>
        <v>0</v>
      </c>
      <c r="CV16" s="92"/>
      <c r="CW16" s="92"/>
      <c r="CX16" s="114">
        <f t="shared" si="11"/>
        <v>0</v>
      </c>
      <c r="CY16" s="92"/>
      <c r="CZ16" s="92"/>
      <c r="DA16" s="114">
        <f t="shared" si="12"/>
        <v>0</v>
      </c>
    </row>
    <row r="17" spans="1:105">
      <c r="A17" s="92"/>
      <c r="B17" s="92"/>
      <c r="C17" s="114">
        <f t="shared" si="13"/>
        <v>0</v>
      </c>
      <c r="D17" s="92"/>
      <c r="E17" s="92"/>
      <c r="F17" s="114">
        <f t="shared" si="14"/>
        <v>0</v>
      </c>
      <c r="G17" s="92"/>
      <c r="H17" s="92"/>
      <c r="I17" s="114">
        <f t="shared" si="15"/>
        <v>0</v>
      </c>
      <c r="J17" s="92"/>
      <c r="K17" s="92"/>
      <c r="L17" s="114">
        <f t="shared" si="16"/>
        <v>0</v>
      </c>
      <c r="M17" s="92"/>
      <c r="N17" s="92"/>
      <c r="O17" s="114">
        <f t="shared" si="17"/>
        <v>0</v>
      </c>
      <c r="P17" s="139"/>
      <c r="Q17" s="139"/>
      <c r="R17" s="114">
        <f t="shared" si="18"/>
        <v>0</v>
      </c>
      <c r="S17" s="92"/>
      <c r="T17" s="92"/>
      <c r="U17" s="114">
        <f t="shared" si="19"/>
        <v>0</v>
      </c>
      <c r="V17" s="92"/>
      <c r="W17" s="92"/>
      <c r="X17" s="114">
        <f t="shared" si="20"/>
        <v>0</v>
      </c>
      <c r="Y17" s="92"/>
      <c r="Z17" s="92"/>
      <c r="AA17" s="114">
        <f t="shared" si="21"/>
        <v>0</v>
      </c>
      <c r="AB17" s="92"/>
      <c r="AC17" s="92"/>
      <c r="AD17" s="114">
        <f t="shared" si="22"/>
        <v>0</v>
      </c>
      <c r="AE17" s="92"/>
      <c r="AF17" s="92"/>
      <c r="AG17" s="114">
        <f t="shared" si="23"/>
        <v>0</v>
      </c>
      <c r="AH17" s="92"/>
      <c r="AI17" s="92"/>
      <c r="AJ17" s="114">
        <f t="shared" si="24"/>
        <v>0</v>
      </c>
      <c r="AK17" s="92"/>
      <c r="AL17" s="92"/>
      <c r="AM17" s="114">
        <f t="shared" si="25"/>
        <v>0</v>
      </c>
      <c r="AN17" s="92"/>
      <c r="AO17" s="92"/>
      <c r="AP17" s="114">
        <f t="shared" si="26"/>
        <v>0</v>
      </c>
      <c r="AQ17" s="92"/>
      <c r="AR17" s="92"/>
      <c r="AS17" s="114">
        <f t="shared" si="27"/>
        <v>0</v>
      </c>
      <c r="AT17" s="92"/>
      <c r="AU17" s="92"/>
      <c r="AV17" s="114">
        <f t="shared" si="28"/>
        <v>0</v>
      </c>
      <c r="AW17" s="92"/>
      <c r="AX17" s="92"/>
      <c r="AY17" s="114">
        <f t="shared" si="29"/>
        <v>0</v>
      </c>
      <c r="AZ17" s="92"/>
      <c r="BA17" s="92"/>
      <c r="BB17" s="114">
        <f t="shared" si="30"/>
        <v>0</v>
      </c>
      <c r="BC17" s="101"/>
      <c r="BD17" s="101"/>
      <c r="BE17" s="114">
        <f t="shared" si="31"/>
        <v>0</v>
      </c>
      <c r="BF17" s="101"/>
      <c r="BG17" s="101"/>
      <c r="BH17" s="114">
        <f t="shared" si="32"/>
        <v>0</v>
      </c>
      <c r="BI17" s="101"/>
      <c r="BJ17" s="101"/>
      <c r="BK17" s="114">
        <f t="shared" si="33"/>
        <v>0</v>
      </c>
      <c r="BL17" s="92"/>
      <c r="BM17" s="92"/>
      <c r="BN17" s="114">
        <f t="shared" si="0"/>
        <v>0</v>
      </c>
      <c r="BO17" s="92"/>
      <c r="BP17" s="92"/>
      <c r="BQ17" s="114">
        <f t="shared" si="1"/>
        <v>0</v>
      </c>
      <c r="BR17" s="92"/>
      <c r="BS17" s="92"/>
      <c r="BT17" s="114">
        <f t="shared" si="2"/>
        <v>0</v>
      </c>
      <c r="BU17" s="92"/>
      <c r="BV17" s="92"/>
      <c r="BW17" s="114">
        <f t="shared" si="3"/>
        <v>0</v>
      </c>
      <c r="BX17" s="92"/>
      <c r="BY17" s="92"/>
      <c r="BZ17" s="114">
        <f t="shared" si="4"/>
        <v>0</v>
      </c>
      <c r="CA17" s="92"/>
      <c r="CB17" s="92"/>
      <c r="CC17" s="114">
        <f t="shared" si="5"/>
        <v>0</v>
      </c>
      <c r="CD17" s="92"/>
      <c r="CE17" s="92"/>
      <c r="CF17" s="114">
        <f t="shared" si="6"/>
        <v>0</v>
      </c>
      <c r="CG17" s="92"/>
      <c r="CH17" s="92"/>
      <c r="CI17" s="114">
        <f t="shared" si="7"/>
        <v>0</v>
      </c>
      <c r="CJ17" s="92"/>
      <c r="CK17" s="92"/>
      <c r="CL17" s="114">
        <f t="shared" si="8"/>
        <v>0</v>
      </c>
      <c r="CM17" s="92"/>
      <c r="CN17" s="92"/>
      <c r="CO17" s="114">
        <f t="shared" si="34"/>
        <v>0</v>
      </c>
      <c r="CP17" s="92"/>
      <c r="CQ17" s="92"/>
      <c r="CR17" s="114">
        <f t="shared" si="9"/>
        <v>0</v>
      </c>
      <c r="CS17" s="92"/>
      <c r="CT17" s="92"/>
      <c r="CU17" s="114">
        <f t="shared" si="10"/>
        <v>0</v>
      </c>
      <c r="CV17" s="92"/>
      <c r="CW17" s="92"/>
      <c r="CX17" s="114">
        <f t="shared" si="11"/>
        <v>0</v>
      </c>
      <c r="CY17" s="92"/>
      <c r="CZ17" s="92"/>
      <c r="DA17" s="114">
        <f t="shared" si="12"/>
        <v>0</v>
      </c>
    </row>
    <row r="18" spans="1:105">
      <c r="A18" s="92"/>
      <c r="B18" s="92"/>
      <c r="C18" s="114">
        <f t="shared" si="13"/>
        <v>0</v>
      </c>
      <c r="D18" s="92"/>
      <c r="E18" s="92"/>
      <c r="F18" s="114">
        <f t="shared" si="14"/>
        <v>0</v>
      </c>
      <c r="G18" s="92"/>
      <c r="H18" s="92"/>
      <c r="I18" s="114">
        <f t="shared" si="15"/>
        <v>0</v>
      </c>
      <c r="J18" s="92"/>
      <c r="K18" s="92"/>
      <c r="L18" s="114">
        <f t="shared" si="16"/>
        <v>0</v>
      </c>
      <c r="M18" s="92"/>
      <c r="N18" s="92"/>
      <c r="O18" s="114">
        <f t="shared" si="17"/>
        <v>0</v>
      </c>
      <c r="P18" s="92"/>
      <c r="Q18" s="92"/>
      <c r="R18" s="114">
        <f t="shared" si="18"/>
        <v>0</v>
      </c>
      <c r="S18" s="92"/>
      <c r="T18" s="92"/>
      <c r="U18" s="114">
        <f t="shared" si="19"/>
        <v>0</v>
      </c>
      <c r="V18" s="92"/>
      <c r="W18" s="92"/>
      <c r="X18" s="114">
        <f t="shared" si="20"/>
        <v>0</v>
      </c>
      <c r="Y18" s="92"/>
      <c r="Z18" s="92"/>
      <c r="AA18" s="114">
        <f t="shared" si="21"/>
        <v>0</v>
      </c>
      <c r="AB18" s="92"/>
      <c r="AC18" s="92"/>
      <c r="AD18" s="114">
        <f t="shared" si="22"/>
        <v>0</v>
      </c>
      <c r="AE18" s="92"/>
      <c r="AF18" s="92"/>
      <c r="AG18" s="114">
        <f t="shared" si="23"/>
        <v>0</v>
      </c>
      <c r="AH18" s="92"/>
      <c r="AI18" s="92"/>
      <c r="AJ18" s="114">
        <f t="shared" si="24"/>
        <v>0</v>
      </c>
      <c r="AK18" s="92"/>
      <c r="AL18" s="92"/>
      <c r="AM18" s="114">
        <f t="shared" si="25"/>
        <v>0</v>
      </c>
      <c r="AN18" s="92"/>
      <c r="AO18" s="92"/>
      <c r="AP18" s="114">
        <f t="shared" si="26"/>
        <v>0</v>
      </c>
      <c r="AQ18" s="92"/>
      <c r="AR18" s="92"/>
      <c r="AS18" s="114">
        <f t="shared" si="27"/>
        <v>0</v>
      </c>
      <c r="AT18" s="92"/>
      <c r="AU18" s="92"/>
      <c r="AV18" s="114">
        <f t="shared" si="28"/>
        <v>0</v>
      </c>
      <c r="AW18" s="92"/>
      <c r="AX18" s="92"/>
      <c r="AY18" s="114">
        <f t="shared" si="29"/>
        <v>0</v>
      </c>
      <c r="AZ18" s="92"/>
      <c r="BA18" s="92"/>
      <c r="BB18" s="114">
        <f t="shared" si="30"/>
        <v>0</v>
      </c>
      <c r="BC18" s="101"/>
      <c r="BD18" s="101"/>
      <c r="BE18" s="114">
        <f t="shared" si="31"/>
        <v>0</v>
      </c>
      <c r="BF18" s="101"/>
      <c r="BG18" s="101"/>
      <c r="BH18" s="114">
        <f t="shared" si="32"/>
        <v>0</v>
      </c>
      <c r="BI18" s="101"/>
      <c r="BJ18" s="101"/>
      <c r="BK18" s="114">
        <f t="shared" si="33"/>
        <v>0</v>
      </c>
      <c r="BL18" s="92"/>
      <c r="BM18" s="92"/>
      <c r="BN18" s="114">
        <f t="shared" si="0"/>
        <v>0</v>
      </c>
      <c r="BO18" s="92"/>
      <c r="BP18" s="92"/>
      <c r="BQ18" s="114">
        <f t="shared" si="1"/>
        <v>0</v>
      </c>
      <c r="BR18" s="92"/>
      <c r="BS18" s="92"/>
      <c r="BT18" s="114">
        <f t="shared" si="2"/>
        <v>0</v>
      </c>
      <c r="BU18" s="92"/>
      <c r="BV18" s="92"/>
      <c r="BW18" s="114">
        <f t="shared" si="3"/>
        <v>0</v>
      </c>
      <c r="BX18" s="92"/>
      <c r="BY18" s="92"/>
      <c r="BZ18" s="114">
        <f t="shared" si="4"/>
        <v>0</v>
      </c>
      <c r="CA18" s="92"/>
      <c r="CB18" s="92"/>
      <c r="CC18" s="114">
        <f t="shared" si="5"/>
        <v>0</v>
      </c>
      <c r="CD18" s="92"/>
      <c r="CE18" s="92"/>
      <c r="CF18" s="114">
        <f t="shared" si="6"/>
        <v>0</v>
      </c>
      <c r="CG18" s="92"/>
      <c r="CH18" s="92"/>
      <c r="CI18" s="114">
        <f t="shared" si="7"/>
        <v>0</v>
      </c>
      <c r="CJ18" s="92"/>
      <c r="CK18" s="92"/>
      <c r="CL18" s="114">
        <f t="shared" si="8"/>
        <v>0</v>
      </c>
      <c r="CM18" s="92"/>
      <c r="CN18" s="92"/>
      <c r="CO18" s="114">
        <f t="shared" si="34"/>
        <v>0</v>
      </c>
      <c r="CP18" s="92"/>
      <c r="CQ18" s="92"/>
      <c r="CR18" s="114">
        <f t="shared" si="9"/>
        <v>0</v>
      </c>
      <c r="CS18" s="92"/>
      <c r="CT18" s="92"/>
      <c r="CU18" s="114">
        <f t="shared" si="10"/>
        <v>0</v>
      </c>
      <c r="CV18" s="92"/>
      <c r="CW18" s="92"/>
      <c r="CX18" s="114">
        <f t="shared" si="11"/>
        <v>0</v>
      </c>
      <c r="CY18" s="92"/>
      <c r="CZ18" s="92"/>
      <c r="DA18" s="114">
        <f t="shared" si="12"/>
        <v>0</v>
      </c>
    </row>
    <row r="19" spans="1:105">
      <c r="A19" s="92"/>
      <c r="B19" s="92"/>
      <c r="C19" s="114">
        <f t="shared" si="13"/>
        <v>0</v>
      </c>
      <c r="D19" s="92"/>
      <c r="E19" s="92"/>
      <c r="F19" s="114">
        <f t="shared" si="14"/>
        <v>0</v>
      </c>
      <c r="G19" s="92"/>
      <c r="H19" s="92"/>
      <c r="I19" s="114">
        <f t="shared" si="15"/>
        <v>0</v>
      </c>
      <c r="J19" s="92"/>
      <c r="K19" s="92"/>
      <c r="L19" s="114">
        <f t="shared" si="16"/>
        <v>0</v>
      </c>
      <c r="M19" s="92"/>
      <c r="N19" s="92"/>
      <c r="O19" s="114">
        <f t="shared" si="17"/>
        <v>0</v>
      </c>
      <c r="P19" s="92"/>
      <c r="Q19" s="92"/>
      <c r="R19" s="114">
        <f t="shared" si="18"/>
        <v>0</v>
      </c>
      <c r="S19" s="92"/>
      <c r="T19" s="92"/>
      <c r="U19" s="114">
        <f t="shared" si="19"/>
        <v>0</v>
      </c>
      <c r="V19" s="92"/>
      <c r="W19" s="92"/>
      <c r="X19" s="114">
        <f t="shared" si="20"/>
        <v>0</v>
      </c>
      <c r="Y19" s="92"/>
      <c r="Z19" s="92"/>
      <c r="AA19" s="114">
        <f t="shared" si="21"/>
        <v>0</v>
      </c>
      <c r="AB19" s="92"/>
      <c r="AC19" s="92"/>
      <c r="AD19" s="114">
        <f t="shared" si="22"/>
        <v>0</v>
      </c>
      <c r="AE19" s="92"/>
      <c r="AF19" s="92"/>
      <c r="AG19" s="114">
        <f t="shared" si="23"/>
        <v>0</v>
      </c>
      <c r="AH19" s="92"/>
      <c r="AI19" s="92"/>
      <c r="AJ19" s="114">
        <f t="shared" si="24"/>
        <v>0</v>
      </c>
      <c r="AK19" s="92"/>
      <c r="AL19" s="92"/>
      <c r="AM19" s="114">
        <f t="shared" si="25"/>
        <v>0</v>
      </c>
      <c r="AN19" s="92"/>
      <c r="AO19" s="92"/>
      <c r="AP19" s="114">
        <f t="shared" si="26"/>
        <v>0</v>
      </c>
      <c r="AQ19" s="92"/>
      <c r="AR19" s="92"/>
      <c r="AS19" s="114">
        <f t="shared" si="27"/>
        <v>0</v>
      </c>
      <c r="AT19" s="92"/>
      <c r="AU19" s="92"/>
      <c r="AV19" s="114">
        <f t="shared" si="28"/>
        <v>0</v>
      </c>
      <c r="AW19" s="92"/>
      <c r="AX19" s="92"/>
      <c r="AY19" s="114">
        <f t="shared" si="29"/>
        <v>0</v>
      </c>
      <c r="AZ19" s="92"/>
      <c r="BA19" s="92"/>
      <c r="BB19" s="114">
        <f t="shared" si="30"/>
        <v>0</v>
      </c>
      <c r="BC19" s="101"/>
      <c r="BD19" s="101"/>
      <c r="BE19" s="114">
        <f t="shared" si="31"/>
        <v>0</v>
      </c>
      <c r="BF19" s="101"/>
      <c r="BG19" s="101"/>
      <c r="BH19" s="114">
        <f t="shared" si="32"/>
        <v>0</v>
      </c>
      <c r="BI19" s="101"/>
      <c r="BJ19" s="101"/>
      <c r="BK19" s="114">
        <f t="shared" si="33"/>
        <v>0</v>
      </c>
      <c r="BL19" s="92"/>
      <c r="BM19" s="92"/>
      <c r="BN19" s="114">
        <f t="shared" si="0"/>
        <v>0</v>
      </c>
      <c r="BO19" s="92"/>
      <c r="BP19" s="92"/>
      <c r="BQ19" s="114">
        <f t="shared" si="1"/>
        <v>0</v>
      </c>
      <c r="BR19" s="92"/>
      <c r="BS19" s="92"/>
      <c r="BT19" s="114">
        <f t="shared" si="2"/>
        <v>0</v>
      </c>
      <c r="BU19" s="92"/>
      <c r="BV19" s="92"/>
      <c r="BW19" s="114">
        <f t="shared" si="3"/>
        <v>0</v>
      </c>
      <c r="BX19" s="92"/>
      <c r="BY19" s="92"/>
      <c r="BZ19" s="114">
        <f t="shared" si="4"/>
        <v>0</v>
      </c>
      <c r="CA19" s="92"/>
      <c r="CB19" s="92"/>
      <c r="CC19" s="114">
        <f t="shared" si="5"/>
        <v>0</v>
      </c>
      <c r="CD19" s="92"/>
      <c r="CE19" s="92"/>
      <c r="CF19" s="114">
        <f t="shared" si="6"/>
        <v>0</v>
      </c>
      <c r="CG19" s="92"/>
      <c r="CH19" s="92"/>
      <c r="CI19" s="114">
        <f t="shared" si="7"/>
        <v>0</v>
      </c>
      <c r="CJ19" s="92"/>
      <c r="CK19" s="92"/>
      <c r="CL19" s="114">
        <f t="shared" si="8"/>
        <v>0</v>
      </c>
      <c r="CM19" s="92"/>
      <c r="CN19" s="92"/>
      <c r="CO19" s="114">
        <f t="shared" si="34"/>
        <v>0</v>
      </c>
      <c r="CP19" s="92"/>
      <c r="CQ19" s="92"/>
      <c r="CR19" s="114">
        <f t="shared" si="9"/>
        <v>0</v>
      </c>
      <c r="CS19" s="92"/>
      <c r="CT19" s="92"/>
      <c r="CU19" s="114">
        <f t="shared" si="10"/>
        <v>0</v>
      </c>
      <c r="CV19" s="92"/>
      <c r="CW19" s="92"/>
      <c r="CX19" s="114">
        <f t="shared" si="11"/>
        <v>0</v>
      </c>
      <c r="CY19" s="92"/>
      <c r="CZ19" s="92"/>
      <c r="DA19" s="114">
        <f t="shared" si="12"/>
        <v>0</v>
      </c>
    </row>
    <row r="20" spans="1:105">
      <c r="A20" s="92"/>
      <c r="B20" s="92"/>
      <c r="C20" s="114">
        <f t="shared" si="13"/>
        <v>0</v>
      </c>
      <c r="D20" s="92"/>
      <c r="E20" s="92"/>
      <c r="F20" s="114">
        <f t="shared" si="14"/>
        <v>0</v>
      </c>
      <c r="G20" s="92"/>
      <c r="H20" s="92"/>
      <c r="I20" s="114">
        <f t="shared" si="15"/>
        <v>0</v>
      </c>
      <c r="J20" s="92"/>
      <c r="K20" s="92"/>
      <c r="L20" s="114">
        <f t="shared" si="16"/>
        <v>0</v>
      </c>
      <c r="M20" s="92"/>
      <c r="N20" s="92"/>
      <c r="O20" s="114">
        <f t="shared" si="17"/>
        <v>0</v>
      </c>
      <c r="P20" s="92"/>
      <c r="Q20" s="92"/>
      <c r="R20" s="114">
        <f t="shared" si="18"/>
        <v>0</v>
      </c>
      <c r="S20" s="92"/>
      <c r="T20" s="92"/>
      <c r="U20" s="114">
        <f t="shared" si="19"/>
        <v>0</v>
      </c>
      <c r="V20" s="92"/>
      <c r="W20" s="92"/>
      <c r="X20" s="114">
        <f t="shared" si="20"/>
        <v>0</v>
      </c>
      <c r="Y20" s="92"/>
      <c r="Z20" s="92"/>
      <c r="AA20" s="114">
        <f t="shared" si="21"/>
        <v>0</v>
      </c>
      <c r="AB20" s="92"/>
      <c r="AC20" s="92"/>
      <c r="AD20" s="114">
        <f t="shared" si="22"/>
        <v>0</v>
      </c>
      <c r="AE20" s="92"/>
      <c r="AF20" s="92"/>
      <c r="AG20" s="114">
        <f t="shared" si="23"/>
        <v>0</v>
      </c>
      <c r="AH20" s="92"/>
      <c r="AI20" s="92"/>
      <c r="AJ20" s="114">
        <f t="shared" si="24"/>
        <v>0</v>
      </c>
      <c r="AK20" s="92"/>
      <c r="AL20" s="92"/>
      <c r="AM20" s="114">
        <f t="shared" si="25"/>
        <v>0</v>
      </c>
      <c r="AN20" s="92"/>
      <c r="AO20" s="92"/>
      <c r="AP20" s="114">
        <f t="shared" si="26"/>
        <v>0</v>
      </c>
      <c r="AQ20" s="92"/>
      <c r="AR20" s="92"/>
      <c r="AS20" s="114">
        <f t="shared" si="27"/>
        <v>0</v>
      </c>
      <c r="AT20" s="92"/>
      <c r="AU20" s="92"/>
      <c r="AV20" s="114">
        <f t="shared" si="28"/>
        <v>0</v>
      </c>
      <c r="AW20" s="92"/>
      <c r="AX20" s="92"/>
      <c r="AY20" s="114">
        <f t="shared" si="29"/>
        <v>0</v>
      </c>
      <c r="AZ20" s="92"/>
      <c r="BA20" s="92"/>
      <c r="BB20" s="114">
        <f t="shared" si="30"/>
        <v>0</v>
      </c>
      <c r="BC20" s="101"/>
      <c r="BD20" s="101"/>
      <c r="BE20" s="114">
        <f t="shared" si="31"/>
        <v>0</v>
      </c>
      <c r="BF20" s="101"/>
      <c r="BG20" s="101"/>
      <c r="BH20" s="114">
        <f t="shared" si="32"/>
        <v>0</v>
      </c>
      <c r="BI20" s="101"/>
      <c r="BJ20" s="101"/>
      <c r="BK20" s="114">
        <f t="shared" si="33"/>
        <v>0</v>
      </c>
      <c r="BL20" s="92"/>
      <c r="BM20" s="92"/>
      <c r="BN20" s="114">
        <f t="shared" si="0"/>
        <v>0</v>
      </c>
      <c r="BO20" s="92"/>
      <c r="BP20" s="92"/>
      <c r="BQ20" s="114">
        <f t="shared" si="1"/>
        <v>0</v>
      </c>
      <c r="BR20" s="92"/>
      <c r="BS20" s="92"/>
      <c r="BT20" s="114">
        <f t="shared" si="2"/>
        <v>0</v>
      </c>
      <c r="BU20" s="92"/>
      <c r="BV20" s="92"/>
      <c r="BW20" s="114">
        <f t="shared" si="3"/>
        <v>0</v>
      </c>
      <c r="BX20" s="92"/>
      <c r="BY20" s="92"/>
      <c r="BZ20" s="114">
        <f t="shared" si="4"/>
        <v>0</v>
      </c>
      <c r="CA20" s="92"/>
      <c r="CB20" s="92"/>
      <c r="CC20" s="114">
        <f t="shared" si="5"/>
        <v>0</v>
      </c>
      <c r="CD20" s="92"/>
      <c r="CE20" s="92"/>
      <c r="CF20" s="114">
        <f t="shared" si="6"/>
        <v>0</v>
      </c>
      <c r="CG20" s="92"/>
      <c r="CH20" s="92"/>
      <c r="CI20" s="114">
        <f t="shared" si="7"/>
        <v>0</v>
      </c>
      <c r="CJ20" s="92"/>
      <c r="CK20" s="92"/>
      <c r="CL20" s="114">
        <f t="shared" si="8"/>
        <v>0</v>
      </c>
      <c r="CM20" s="92"/>
      <c r="CN20" s="92"/>
      <c r="CO20" s="114">
        <f t="shared" si="34"/>
        <v>0</v>
      </c>
      <c r="CP20" s="92"/>
      <c r="CQ20" s="92"/>
      <c r="CR20" s="114">
        <f t="shared" si="9"/>
        <v>0</v>
      </c>
      <c r="CS20" s="92"/>
      <c r="CT20" s="92"/>
      <c r="CU20" s="114">
        <f t="shared" si="10"/>
        <v>0</v>
      </c>
      <c r="CV20" s="92"/>
      <c r="CW20" s="92"/>
      <c r="CX20" s="114">
        <f t="shared" si="11"/>
        <v>0</v>
      </c>
      <c r="CY20" s="92"/>
      <c r="CZ20" s="92"/>
      <c r="DA20" s="114">
        <f t="shared" si="12"/>
        <v>0</v>
      </c>
    </row>
    <row r="21" spans="1:105">
      <c r="A21" s="92"/>
      <c r="B21" s="92"/>
      <c r="C21" s="114">
        <f t="shared" si="13"/>
        <v>0</v>
      </c>
      <c r="D21" s="92"/>
      <c r="E21" s="92"/>
      <c r="F21" s="114">
        <f t="shared" si="14"/>
        <v>0</v>
      </c>
      <c r="G21" s="92"/>
      <c r="H21" s="92"/>
      <c r="I21" s="114">
        <f t="shared" si="15"/>
        <v>0</v>
      </c>
      <c r="J21" s="92"/>
      <c r="K21" s="92"/>
      <c r="L21" s="114">
        <f t="shared" si="16"/>
        <v>0</v>
      </c>
      <c r="M21" s="92"/>
      <c r="N21" s="92"/>
      <c r="O21" s="114">
        <f t="shared" si="17"/>
        <v>0</v>
      </c>
      <c r="P21" s="92"/>
      <c r="Q21" s="92"/>
      <c r="R21" s="114">
        <f t="shared" si="18"/>
        <v>0</v>
      </c>
      <c r="S21" s="92"/>
      <c r="T21" s="92"/>
      <c r="U21" s="114">
        <f t="shared" si="19"/>
        <v>0</v>
      </c>
      <c r="V21" s="92"/>
      <c r="W21" s="92"/>
      <c r="X21" s="114">
        <f t="shared" si="20"/>
        <v>0</v>
      </c>
      <c r="Y21" s="92"/>
      <c r="Z21" s="92"/>
      <c r="AA21" s="114">
        <f t="shared" si="21"/>
        <v>0</v>
      </c>
      <c r="AB21" s="92"/>
      <c r="AC21" s="92"/>
      <c r="AD21" s="114">
        <f t="shared" si="22"/>
        <v>0</v>
      </c>
      <c r="AE21" s="92"/>
      <c r="AF21" s="92"/>
      <c r="AG21" s="114">
        <f t="shared" si="23"/>
        <v>0</v>
      </c>
      <c r="AH21" s="92"/>
      <c r="AI21" s="92"/>
      <c r="AJ21" s="114">
        <f t="shared" si="24"/>
        <v>0</v>
      </c>
      <c r="AK21" s="92"/>
      <c r="AL21" s="92"/>
      <c r="AM21" s="114">
        <f t="shared" si="25"/>
        <v>0</v>
      </c>
      <c r="AN21" s="92"/>
      <c r="AO21" s="92"/>
      <c r="AP21" s="114">
        <f t="shared" si="26"/>
        <v>0</v>
      </c>
      <c r="AQ21" s="92"/>
      <c r="AR21" s="92"/>
      <c r="AS21" s="114">
        <f t="shared" si="27"/>
        <v>0</v>
      </c>
      <c r="AT21" s="92"/>
      <c r="AU21" s="92"/>
      <c r="AV21" s="114">
        <f t="shared" si="28"/>
        <v>0</v>
      </c>
      <c r="AW21" s="92"/>
      <c r="AX21" s="92"/>
      <c r="AY21" s="114">
        <f t="shared" si="29"/>
        <v>0</v>
      </c>
      <c r="AZ21" s="92"/>
      <c r="BA21" s="92"/>
      <c r="BB21" s="114">
        <f t="shared" si="30"/>
        <v>0</v>
      </c>
      <c r="BC21" s="101"/>
      <c r="BD21" s="101"/>
      <c r="BE21" s="114">
        <f t="shared" si="31"/>
        <v>0</v>
      </c>
      <c r="BF21" s="101"/>
      <c r="BG21" s="101"/>
      <c r="BH21" s="114">
        <f t="shared" si="32"/>
        <v>0</v>
      </c>
      <c r="BI21" s="101"/>
      <c r="BJ21" s="101"/>
      <c r="BK21" s="114">
        <f t="shared" si="33"/>
        <v>0</v>
      </c>
      <c r="BL21" s="92"/>
      <c r="BM21" s="92"/>
      <c r="BN21" s="114">
        <f t="shared" si="0"/>
        <v>0</v>
      </c>
      <c r="BO21" s="92"/>
      <c r="BP21" s="92"/>
      <c r="BQ21" s="114">
        <f t="shared" si="1"/>
        <v>0</v>
      </c>
      <c r="BR21" s="92"/>
      <c r="BS21" s="92"/>
      <c r="BT21" s="114">
        <f t="shared" si="2"/>
        <v>0</v>
      </c>
      <c r="BU21" s="92"/>
      <c r="BV21" s="92"/>
      <c r="BW21" s="114">
        <f t="shared" si="3"/>
        <v>0</v>
      </c>
      <c r="BX21" s="92"/>
      <c r="BY21" s="92"/>
      <c r="BZ21" s="114">
        <f t="shared" si="4"/>
        <v>0</v>
      </c>
      <c r="CA21" s="92"/>
      <c r="CB21" s="92"/>
      <c r="CC21" s="114">
        <f t="shared" si="5"/>
        <v>0</v>
      </c>
      <c r="CD21" s="92"/>
      <c r="CE21" s="92"/>
      <c r="CF21" s="114">
        <f t="shared" si="6"/>
        <v>0</v>
      </c>
      <c r="CG21" s="92"/>
      <c r="CH21" s="92"/>
      <c r="CI21" s="114">
        <f t="shared" si="7"/>
        <v>0</v>
      </c>
      <c r="CJ21" s="92"/>
      <c r="CK21" s="92"/>
      <c r="CL21" s="114">
        <f t="shared" si="8"/>
        <v>0</v>
      </c>
      <c r="CM21" s="92"/>
      <c r="CN21" s="92"/>
      <c r="CO21" s="114">
        <f t="shared" si="34"/>
        <v>0</v>
      </c>
      <c r="CP21" s="92"/>
      <c r="CQ21" s="92"/>
      <c r="CR21" s="114">
        <f t="shared" si="9"/>
        <v>0</v>
      </c>
      <c r="CS21" s="92"/>
      <c r="CT21" s="92"/>
      <c r="CU21" s="114">
        <f t="shared" si="10"/>
        <v>0</v>
      </c>
      <c r="CV21" s="92"/>
      <c r="CW21" s="92"/>
      <c r="CX21" s="114">
        <f t="shared" si="11"/>
        <v>0</v>
      </c>
      <c r="CY21" s="92"/>
      <c r="CZ21" s="92"/>
      <c r="DA21" s="114">
        <f t="shared" si="12"/>
        <v>0</v>
      </c>
    </row>
    <row r="22" spans="1:105">
      <c r="A22" s="92"/>
      <c r="B22" s="92"/>
      <c r="C22" s="114">
        <f t="shared" si="13"/>
        <v>0</v>
      </c>
      <c r="D22" s="92"/>
      <c r="E22" s="92"/>
      <c r="F22" s="114">
        <f t="shared" si="14"/>
        <v>0</v>
      </c>
      <c r="G22" s="92"/>
      <c r="H22" s="92"/>
      <c r="I22" s="114">
        <f t="shared" si="15"/>
        <v>0</v>
      </c>
      <c r="J22" s="92"/>
      <c r="K22" s="92"/>
      <c r="L22" s="114">
        <f t="shared" si="16"/>
        <v>0</v>
      </c>
      <c r="M22" s="92"/>
      <c r="N22" s="92"/>
      <c r="O22" s="114">
        <f t="shared" si="17"/>
        <v>0</v>
      </c>
      <c r="P22" s="92"/>
      <c r="Q22" s="92"/>
      <c r="R22" s="114">
        <f t="shared" si="18"/>
        <v>0</v>
      </c>
      <c r="S22" s="92"/>
      <c r="T22" s="92"/>
      <c r="U22" s="114">
        <f t="shared" si="19"/>
        <v>0</v>
      </c>
      <c r="V22" s="92"/>
      <c r="W22" s="92"/>
      <c r="X22" s="114">
        <f t="shared" si="20"/>
        <v>0</v>
      </c>
      <c r="Y22" s="92"/>
      <c r="Z22" s="92"/>
      <c r="AA22" s="114">
        <f t="shared" si="21"/>
        <v>0</v>
      </c>
      <c r="AB22" s="92"/>
      <c r="AC22" s="92"/>
      <c r="AD22" s="114">
        <f t="shared" si="22"/>
        <v>0</v>
      </c>
      <c r="AE22" s="92"/>
      <c r="AF22" s="92"/>
      <c r="AG22" s="114">
        <f t="shared" si="23"/>
        <v>0</v>
      </c>
      <c r="AH22" s="92"/>
      <c r="AI22" s="92"/>
      <c r="AJ22" s="114">
        <f t="shared" si="24"/>
        <v>0</v>
      </c>
      <c r="AK22" s="92"/>
      <c r="AL22" s="92"/>
      <c r="AM22" s="114">
        <f t="shared" si="25"/>
        <v>0</v>
      </c>
      <c r="AN22" s="92"/>
      <c r="AO22" s="92"/>
      <c r="AP22" s="114">
        <f t="shared" si="26"/>
        <v>0</v>
      </c>
      <c r="AQ22" s="92"/>
      <c r="AR22" s="92"/>
      <c r="AS22" s="114">
        <f t="shared" si="27"/>
        <v>0</v>
      </c>
      <c r="AT22" s="92"/>
      <c r="AU22" s="92"/>
      <c r="AV22" s="114">
        <f t="shared" si="28"/>
        <v>0</v>
      </c>
      <c r="AW22" s="92"/>
      <c r="AX22" s="92"/>
      <c r="AY22" s="114">
        <f t="shared" si="29"/>
        <v>0</v>
      </c>
      <c r="AZ22" s="92"/>
      <c r="BA22" s="92"/>
      <c r="BB22" s="114">
        <f t="shared" si="30"/>
        <v>0</v>
      </c>
      <c r="BC22" s="101"/>
      <c r="BD22" s="101"/>
      <c r="BE22" s="114">
        <f t="shared" si="31"/>
        <v>0</v>
      </c>
      <c r="BF22" s="101"/>
      <c r="BG22" s="101"/>
      <c r="BH22" s="114">
        <f t="shared" si="32"/>
        <v>0</v>
      </c>
      <c r="BI22" s="101"/>
      <c r="BJ22" s="101"/>
      <c r="BK22" s="114">
        <f t="shared" si="33"/>
        <v>0</v>
      </c>
      <c r="BL22" s="92"/>
      <c r="BM22" s="92"/>
      <c r="BN22" s="114">
        <f t="shared" si="0"/>
        <v>0</v>
      </c>
      <c r="BO22" s="92"/>
      <c r="BP22" s="92"/>
      <c r="BQ22" s="114">
        <f t="shared" si="1"/>
        <v>0</v>
      </c>
      <c r="BR22" s="92"/>
      <c r="BS22" s="92"/>
      <c r="BT22" s="114">
        <f t="shared" si="2"/>
        <v>0</v>
      </c>
      <c r="BU22" s="92"/>
      <c r="BV22" s="92"/>
      <c r="BW22" s="114">
        <f t="shared" si="3"/>
        <v>0</v>
      </c>
      <c r="BX22" s="92"/>
      <c r="BY22" s="92"/>
      <c r="BZ22" s="114">
        <f t="shared" si="4"/>
        <v>0</v>
      </c>
      <c r="CA22" s="92"/>
      <c r="CB22" s="92"/>
      <c r="CC22" s="114">
        <f t="shared" si="5"/>
        <v>0</v>
      </c>
      <c r="CD22" s="92"/>
      <c r="CE22" s="92"/>
      <c r="CF22" s="114">
        <f t="shared" si="6"/>
        <v>0</v>
      </c>
      <c r="CG22" s="92"/>
      <c r="CH22" s="92"/>
      <c r="CI22" s="114">
        <f t="shared" si="7"/>
        <v>0</v>
      </c>
      <c r="CJ22" s="92"/>
      <c r="CK22" s="92"/>
      <c r="CL22" s="114">
        <f t="shared" si="8"/>
        <v>0</v>
      </c>
      <c r="CM22" s="92"/>
      <c r="CN22" s="92"/>
      <c r="CO22" s="114">
        <f t="shared" si="34"/>
        <v>0</v>
      </c>
      <c r="CP22" s="92"/>
      <c r="CQ22" s="92"/>
      <c r="CR22" s="114">
        <f t="shared" si="9"/>
        <v>0</v>
      </c>
      <c r="CS22" s="92"/>
      <c r="CT22" s="92"/>
      <c r="CU22" s="114">
        <f t="shared" si="10"/>
        <v>0</v>
      </c>
      <c r="CV22" s="92"/>
      <c r="CW22" s="92"/>
      <c r="CX22" s="114">
        <f t="shared" si="11"/>
        <v>0</v>
      </c>
      <c r="CY22" s="92"/>
      <c r="CZ22" s="92"/>
      <c r="DA22" s="114">
        <f t="shared" si="12"/>
        <v>0</v>
      </c>
    </row>
    <row r="23" spans="1:105">
      <c r="A23" s="92"/>
      <c r="B23" s="92"/>
      <c r="C23" s="114">
        <f t="shared" si="13"/>
        <v>0</v>
      </c>
      <c r="D23" s="92"/>
      <c r="E23" s="92"/>
      <c r="F23" s="114">
        <f t="shared" si="14"/>
        <v>0</v>
      </c>
      <c r="G23" s="92"/>
      <c r="H23" s="92"/>
      <c r="I23" s="114">
        <f t="shared" si="15"/>
        <v>0</v>
      </c>
      <c r="J23" s="92"/>
      <c r="K23" s="92"/>
      <c r="L23" s="114">
        <f t="shared" si="16"/>
        <v>0</v>
      </c>
      <c r="M23" s="92"/>
      <c r="N23" s="92"/>
      <c r="O23" s="114">
        <f t="shared" si="17"/>
        <v>0</v>
      </c>
      <c r="P23" s="92"/>
      <c r="Q23" s="92"/>
      <c r="R23" s="114">
        <f t="shared" si="18"/>
        <v>0</v>
      </c>
      <c r="S23" s="92"/>
      <c r="T23" s="92"/>
      <c r="U23" s="114">
        <f t="shared" si="19"/>
        <v>0</v>
      </c>
      <c r="V23" s="92"/>
      <c r="W23" s="92"/>
      <c r="X23" s="114">
        <f t="shared" si="20"/>
        <v>0</v>
      </c>
      <c r="Y23" s="92"/>
      <c r="Z23" s="92"/>
      <c r="AA23" s="114">
        <f t="shared" si="21"/>
        <v>0</v>
      </c>
      <c r="AB23" s="92"/>
      <c r="AC23" s="92"/>
      <c r="AD23" s="114">
        <f t="shared" si="22"/>
        <v>0</v>
      </c>
      <c r="AE23" s="92"/>
      <c r="AF23" s="92"/>
      <c r="AG23" s="114">
        <f t="shared" si="23"/>
        <v>0</v>
      </c>
      <c r="AH23" s="92"/>
      <c r="AI23" s="92"/>
      <c r="AJ23" s="114">
        <f t="shared" si="24"/>
        <v>0</v>
      </c>
      <c r="AK23" s="92"/>
      <c r="AL23" s="92"/>
      <c r="AM23" s="114">
        <f t="shared" si="25"/>
        <v>0</v>
      </c>
      <c r="AN23" s="92"/>
      <c r="AO23" s="92"/>
      <c r="AP23" s="114">
        <f t="shared" si="26"/>
        <v>0</v>
      </c>
      <c r="AQ23" s="92"/>
      <c r="AR23" s="92"/>
      <c r="AS23" s="114">
        <f t="shared" si="27"/>
        <v>0</v>
      </c>
      <c r="AT23" s="92"/>
      <c r="AU23" s="92"/>
      <c r="AV23" s="114">
        <f t="shared" si="28"/>
        <v>0</v>
      </c>
      <c r="AW23" s="92"/>
      <c r="AX23" s="92"/>
      <c r="AY23" s="114">
        <f t="shared" si="29"/>
        <v>0</v>
      </c>
      <c r="AZ23" s="92"/>
      <c r="BA23" s="92"/>
      <c r="BB23" s="114">
        <f t="shared" si="30"/>
        <v>0</v>
      </c>
      <c r="BC23" s="101"/>
      <c r="BD23" s="101"/>
      <c r="BE23" s="114">
        <f t="shared" si="31"/>
        <v>0</v>
      </c>
      <c r="BF23" s="101"/>
      <c r="BG23" s="101"/>
      <c r="BH23" s="114">
        <f t="shared" si="32"/>
        <v>0</v>
      </c>
      <c r="BI23" s="101"/>
      <c r="BJ23" s="101"/>
      <c r="BK23" s="114">
        <f t="shared" si="33"/>
        <v>0</v>
      </c>
      <c r="BL23" s="92"/>
      <c r="BM23" s="92"/>
      <c r="BN23" s="114">
        <f t="shared" si="0"/>
        <v>0</v>
      </c>
      <c r="BO23" s="92"/>
      <c r="BP23" s="92"/>
      <c r="BQ23" s="114">
        <f t="shared" si="1"/>
        <v>0</v>
      </c>
      <c r="BR23" s="92"/>
      <c r="BS23" s="92"/>
      <c r="BT23" s="114">
        <f t="shared" si="2"/>
        <v>0</v>
      </c>
      <c r="BU23" s="92"/>
      <c r="BV23" s="92"/>
      <c r="BW23" s="114">
        <f t="shared" si="3"/>
        <v>0</v>
      </c>
      <c r="BX23" s="92"/>
      <c r="BY23" s="92"/>
      <c r="BZ23" s="114">
        <f t="shared" si="4"/>
        <v>0</v>
      </c>
      <c r="CA23" s="92"/>
      <c r="CB23" s="92"/>
      <c r="CC23" s="114">
        <f t="shared" si="5"/>
        <v>0</v>
      </c>
      <c r="CD23" s="92"/>
      <c r="CE23" s="92"/>
      <c r="CF23" s="114">
        <f t="shared" si="6"/>
        <v>0</v>
      </c>
      <c r="CG23" s="92"/>
      <c r="CH23" s="92"/>
      <c r="CI23" s="114">
        <f t="shared" si="7"/>
        <v>0</v>
      </c>
      <c r="CJ23" s="92"/>
      <c r="CK23" s="92"/>
      <c r="CL23" s="114">
        <f t="shared" si="8"/>
        <v>0</v>
      </c>
      <c r="CM23" s="92"/>
      <c r="CN23" s="92"/>
      <c r="CO23" s="114">
        <f t="shared" si="34"/>
        <v>0</v>
      </c>
      <c r="CP23" s="92"/>
      <c r="CQ23" s="92"/>
      <c r="CR23" s="114">
        <f t="shared" si="9"/>
        <v>0</v>
      </c>
      <c r="CS23" s="92"/>
      <c r="CT23" s="92"/>
      <c r="CU23" s="114">
        <f t="shared" si="10"/>
        <v>0</v>
      </c>
      <c r="CV23" s="92"/>
      <c r="CW23" s="92"/>
      <c r="CX23" s="114">
        <f t="shared" si="11"/>
        <v>0</v>
      </c>
      <c r="CY23" s="92"/>
      <c r="CZ23" s="92"/>
      <c r="DA23" s="114">
        <f t="shared" si="12"/>
        <v>0</v>
      </c>
    </row>
    <row r="24" spans="1:105">
      <c r="A24" s="92"/>
      <c r="B24" s="92"/>
      <c r="C24" s="114">
        <f t="shared" si="13"/>
        <v>0</v>
      </c>
      <c r="D24" s="92"/>
      <c r="E24" s="92"/>
      <c r="F24" s="114">
        <f t="shared" si="14"/>
        <v>0</v>
      </c>
      <c r="G24" s="92"/>
      <c r="H24" s="92"/>
      <c r="I24" s="114">
        <f t="shared" si="15"/>
        <v>0</v>
      </c>
      <c r="J24" s="92"/>
      <c r="K24" s="92"/>
      <c r="L24" s="114">
        <f t="shared" si="16"/>
        <v>0</v>
      </c>
      <c r="M24" s="92"/>
      <c r="N24" s="92"/>
      <c r="O24" s="114">
        <f t="shared" si="17"/>
        <v>0</v>
      </c>
      <c r="P24" s="92"/>
      <c r="Q24" s="92"/>
      <c r="R24" s="114">
        <f t="shared" si="18"/>
        <v>0</v>
      </c>
      <c r="S24" s="92"/>
      <c r="T24" s="92"/>
      <c r="U24" s="114">
        <f t="shared" si="19"/>
        <v>0</v>
      </c>
      <c r="V24" s="92"/>
      <c r="W24" s="92"/>
      <c r="X24" s="114">
        <f t="shared" si="20"/>
        <v>0</v>
      </c>
      <c r="Y24" s="92"/>
      <c r="Z24" s="92"/>
      <c r="AA24" s="114">
        <f t="shared" si="21"/>
        <v>0</v>
      </c>
      <c r="AB24" s="92"/>
      <c r="AC24" s="92"/>
      <c r="AD24" s="114">
        <f t="shared" si="22"/>
        <v>0</v>
      </c>
      <c r="AE24" s="92"/>
      <c r="AF24" s="92"/>
      <c r="AG24" s="114">
        <f t="shared" si="23"/>
        <v>0</v>
      </c>
      <c r="AH24" s="92"/>
      <c r="AI24" s="92"/>
      <c r="AJ24" s="114">
        <f t="shared" si="24"/>
        <v>0</v>
      </c>
      <c r="AK24" s="92"/>
      <c r="AL24" s="92"/>
      <c r="AM24" s="114">
        <f t="shared" si="25"/>
        <v>0</v>
      </c>
      <c r="AN24" s="92"/>
      <c r="AO24" s="92"/>
      <c r="AP24" s="114">
        <f t="shared" si="26"/>
        <v>0</v>
      </c>
      <c r="AQ24" s="92"/>
      <c r="AR24" s="92"/>
      <c r="AS24" s="114">
        <f t="shared" si="27"/>
        <v>0</v>
      </c>
      <c r="AT24" s="92"/>
      <c r="AU24" s="92"/>
      <c r="AV24" s="114">
        <f t="shared" si="28"/>
        <v>0</v>
      </c>
      <c r="AW24" s="92"/>
      <c r="AX24" s="92"/>
      <c r="AY24" s="114">
        <f t="shared" si="29"/>
        <v>0</v>
      </c>
      <c r="AZ24" s="92"/>
      <c r="BA24" s="92"/>
      <c r="BB24" s="114">
        <f t="shared" si="30"/>
        <v>0</v>
      </c>
      <c r="BC24" s="101"/>
      <c r="BD24" s="101"/>
      <c r="BE24" s="114">
        <f t="shared" si="31"/>
        <v>0</v>
      </c>
      <c r="BF24" s="101"/>
      <c r="BG24" s="101"/>
      <c r="BH24" s="114">
        <f t="shared" si="32"/>
        <v>0</v>
      </c>
      <c r="BI24" s="101"/>
      <c r="BJ24" s="101"/>
      <c r="BK24" s="114">
        <f t="shared" si="33"/>
        <v>0</v>
      </c>
      <c r="BL24" s="92"/>
      <c r="BM24" s="92"/>
      <c r="BN24" s="114">
        <f t="shared" si="0"/>
        <v>0</v>
      </c>
      <c r="BO24" s="92"/>
      <c r="BP24" s="92"/>
      <c r="BQ24" s="114">
        <f t="shared" si="1"/>
        <v>0</v>
      </c>
      <c r="BR24" s="92"/>
      <c r="BS24" s="92"/>
      <c r="BT24" s="114">
        <f t="shared" si="2"/>
        <v>0</v>
      </c>
      <c r="BU24" s="92"/>
      <c r="BV24" s="92"/>
      <c r="BW24" s="114">
        <f t="shared" si="3"/>
        <v>0</v>
      </c>
      <c r="BX24" s="92"/>
      <c r="BY24" s="92"/>
      <c r="BZ24" s="114">
        <f t="shared" si="4"/>
        <v>0</v>
      </c>
      <c r="CA24" s="92"/>
      <c r="CB24" s="92"/>
      <c r="CC24" s="114">
        <f t="shared" si="5"/>
        <v>0</v>
      </c>
      <c r="CD24" s="92"/>
      <c r="CE24" s="92"/>
      <c r="CF24" s="114">
        <f t="shared" si="6"/>
        <v>0</v>
      </c>
      <c r="CG24" s="92"/>
      <c r="CH24" s="92"/>
      <c r="CI24" s="114">
        <f t="shared" si="7"/>
        <v>0</v>
      </c>
      <c r="CJ24" s="92"/>
      <c r="CK24" s="92"/>
      <c r="CL24" s="114">
        <f t="shared" si="8"/>
        <v>0</v>
      </c>
      <c r="CM24" s="92"/>
      <c r="CN24" s="92"/>
      <c r="CO24" s="114">
        <f t="shared" si="34"/>
        <v>0</v>
      </c>
      <c r="CP24" s="92"/>
      <c r="CQ24" s="92"/>
      <c r="CR24" s="114">
        <f t="shared" si="9"/>
        <v>0</v>
      </c>
      <c r="CS24" s="92"/>
      <c r="CT24" s="92"/>
      <c r="CU24" s="114">
        <f t="shared" si="10"/>
        <v>0</v>
      </c>
      <c r="CV24" s="92"/>
      <c r="CW24" s="92"/>
      <c r="CX24" s="114">
        <f t="shared" si="11"/>
        <v>0</v>
      </c>
      <c r="CY24" s="92"/>
      <c r="CZ24" s="92"/>
      <c r="DA24" s="114">
        <f t="shared" si="12"/>
        <v>0</v>
      </c>
    </row>
    <row r="25" spans="1:105">
      <c r="A25" s="92"/>
      <c r="B25" s="92"/>
      <c r="C25" s="114">
        <f t="shared" si="13"/>
        <v>0</v>
      </c>
      <c r="D25" s="92"/>
      <c r="E25" s="92"/>
      <c r="F25" s="114">
        <f t="shared" si="14"/>
        <v>0</v>
      </c>
      <c r="G25" s="92"/>
      <c r="H25" s="92"/>
      <c r="I25" s="114">
        <f t="shared" si="15"/>
        <v>0</v>
      </c>
      <c r="J25" s="92"/>
      <c r="K25" s="92"/>
      <c r="L25" s="114">
        <f t="shared" si="16"/>
        <v>0</v>
      </c>
      <c r="M25" s="92"/>
      <c r="N25" s="92"/>
      <c r="O25" s="114">
        <f t="shared" si="17"/>
        <v>0</v>
      </c>
      <c r="P25" s="92"/>
      <c r="Q25" s="92"/>
      <c r="R25" s="114">
        <f t="shared" si="18"/>
        <v>0</v>
      </c>
      <c r="S25" s="92"/>
      <c r="T25" s="92"/>
      <c r="U25" s="114">
        <f t="shared" si="19"/>
        <v>0</v>
      </c>
      <c r="V25" s="92"/>
      <c r="W25" s="92"/>
      <c r="X25" s="114">
        <f t="shared" si="20"/>
        <v>0</v>
      </c>
      <c r="Y25" s="92"/>
      <c r="Z25" s="92"/>
      <c r="AA25" s="114">
        <f t="shared" si="21"/>
        <v>0</v>
      </c>
      <c r="AB25" s="92"/>
      <c r="AC25" s="92"/>
      <c r="AD25" s="114">
        <f t="shared" si="22"/>
        <v>0</v>
      </c>
      <c r="AE25" s="92"/>
      <c r="AF25" s="92"/>
      <c r="AG25" s="114">
        <f t="shared" si="23"/>
        <v>0</v>
      </c>
      <c r="AH25" s="92"/>
      <c r="AI25" s="92"/>
      <c r="AJ25" s="114">
        <f t="shared" si="24"/>
        <v>0</v>
      </c>
      <c r="AK25" s="92"/>
      <c r="AL25" s="92"/>
      <c r="AM25" s="114">
        <f t="shared" si="25"/>
        <v>0</v>
      </c>
      <c r="AN25" s="92"/>
      <c r="AO25" s="92"/>
      <c r="AP25" s="114">
        <f t="shared" si="26"/>
        <v>0</v>
      </c>
      <c r="AQ25" s="92"/>
      <c r="AR25" s="92"/>
      <c r="AS25" s="114">
        <f t="shared" si="27"/>
        <v>0</v>
      </c>
      <c r="AT25" s="92"/>
      <c r="AU25" s="92"/>
      <c r="AV25" s="114">
        <f t="shared" si="28"/>
        <v>0</v>
      </c>
      <c r="AW25" s="92"/>
      <c r="AX25" s="92"/>
      <c r="AY25" s="114">
        <f t="shared" si="29"/>
        <v>0</v>
      </c>
      <c r="AZ25" s="92"/>
      <c r="BA25" s="92"/>
      <c r="BB25" s="114">
        <f t="shared" si="30"/>
        <v>0</v>
      </c>
      <c r="BC25" s="101"/>
      <c r="BD25" s="101"/>
      <c r="BE25" s="114">
        <f t="shared" si="31"/>
        <v>0</v>
      </c>
      <c r="BF25" s="101"/>
      <c r="BG25" s="101"/>
      <c r="BH25" s="114">
        <f t="shared" si="32"/>
        <v>0</v>
      </c>
      <c r="BI25" s="101"/>
      <c r="BJ25" s="101"/>
      <c r="BK25" s="114">
        <f t="shared" si="33"/>
        <v>0</v>
      </c>
      <c r="BL25" s="92"/>
      <c r="BM25" s="92"/>
      <c r="BN25" s="114">
        <f t="shared" si="0"/>
        <v>0</v>
      </c>
      <c r="BO25" s="92"/>
      <c r="BP25" s="92"/>
      <c r="BQ25" s="114">
        <f t="shared" si="1"/>
        <v>0</v>
      </c>
      <c r="BR25" s="92"/>
      <c r="BS25" s="92"/>
      <c r="BT25" s="114">
        <f t="shared" si="2"/>
        <v>0</v>
      </c>
      <c r="BU25" s="92"/>
      <c r="BV25" s="92"/>
      <c r="BW25" s="114">
        <f t="shared" si="3"/>
        <v>0</v>
      </c>
      <c r="BX25" s="92"/>
      <c r="BY25" s="92"/>
      <c r="BZ25" s="114">
        <f t="shared" si="4"/>
        <v>0</v>
      </c>
      <c r="CA25" s="92"/>
      <c r="CB25" s="92"/>
      <c r="CC25" s="114">
        <f t="shared" si="5"/>
        <v>0</v>
      </c>
      <c r="CD25" s="92"/>
      <c r="CE25" s="92"/>
      <c r="CF25" s="114">
        <f t="shared" si="6"/>
        <v>0</v>
      </c>
      <c r="CG25" s="92"/>
      <c r="CH25" s="92"/>
      <c r="CI25" s="114">
        <f t="shared" si="7"/>
        <v>0</v>
      </c>
      <c r="CJ25" s="92"/>
      <c r="CK25" s="92"/>
      <c r="CL25" s="114">
        <f t="shared" si="8"/>
        <v>0</v>
      </c>
      <c r="CM25" s="92"/>
      <c r="CN25" s="92"/>
      <c r="CO25" s="114">
        <f t="shared" si="34"/>
        <v>0</v>
      </c>
      <c r="CP25" s="92"/>
      <c r="CQ25" s="92"/>
      <c r="CR25" s="114">
        <f t="shared" si="9"/>
        <v>0</v>
      </c>
      <c r="CS25" s="92"/>
      <c r="CT25" s="92"/>
      <c r="CU25" s="114">
        <f t="shared" si="10"/>
        <v>0</v>
      </c>
      <c r="CV25" s="92"/>
      <c r="CW25" s="92"/>
      <c r="CX25" s="114">
        <f t="shared" si="11"/>
        <v>0</v>
      </c>
      <c r="CY25" s="92"/>
      <c r="CZ25" s="92"/>
      <c r="DA25" s="114">
        <f t="shared" si="12"/>
        <v>0</v>
      </c>
    </row>
    <row r="26" spans="1:105">
      <c r="A26" s="92"/>
      <c r="B26" s="92"/>
      <c r="C26" s="114">
        <f t="shared" si="13"/>
        <v>0</v>
      </c>
      <c r="D26" s="92"/>
      <c r="E26" s="92"/>
      <c r="F26" s="114">
        <f t="shared" si="14"/>
        <v>0</v>
      </c>
      <c r="G26" s="92"/>
      <c r="H26" s="92"/>
      <c r="I26" s="114">
        <f t="shared" si="15"/>
        <v>0</v>
      </c>
      <c r="J26" s="92"/>
      <c r="K26" s="92"/>
      <c r="L26" s="114">
        <f t="shared" si="16"/>
        <v>0</v>
      </c>
      <c r="M26" s="92"/>
      <c r="N26" s="92"/>
      <c r="O26" s="114">
        <f t="shared" si="17"/>
        <v>0</v>
      </c>
      <c r="P26" s="92"/>
      <c r="Q26" s="92"/>
      <c r="R26" s="114">
        <f t="shared" si="18"/>
        <v>0</v>
      </c>
      <c r="S26" s="92"/>
      <c r="T26" s="92"/>
      <c r="U26" s="114">
        <f t="shared" si="19"/>
        <v>0</v>
      </c>
      <c r="V26" s="92"/>
      <c r="W26" s="92"/>
      <c r="X26" s="114">
        <f t="shared" si="20"/>
        <v>0</v>
      </c>
      <c r="Y26" s="92"/>
      <c r="Z26" s="92"/>
      <c r="AA26" s="114">
        <f t="shared" si="21"/>
        <v>0</v>
      </c>
      <c r="AB26" s="92"/>
      <c r="AC26" s="92"/>
      <c r="AD26" s="114">
        <f t="shared" si="22"/>
        <v>0</v>
      </c>
      <c r="AE26" s="92"/>
      <c r="AF26" s="92"/>
      <c r="AG26" s="114">
        <f t="shared" si="23"/>
        <v>0</v>
      </c>
      <c r="AH26" s="92"/>
      <c r="AI26" s="92"/>
      <c r="AJ26" s="114">
        <f t="shared" si="24"/>
        <v>0</v>
      </c>
      <c r="AK26" s="92"/>
      <c r="AL26" s="92"/>
      <c r="AM26" s="114">
        <f t="shared" si="25"/>
        <v>0</v>
      </c>
      <c r="AN26" s="92"/>
      <c r="AO26" s="92"/>
      <c r="AP26" s="114">
        <f t="shared" si="26"/>
        <v>0</v>
      </c>
      <c r="AQ26" s="92"/>
      <c r="AR26" s="92"/>
      <c r="AS26" s="114">
        <f t="shared" si="27"/>
        <v>0</v>
      </c>
      <c r="AT26" s="92"/>
      <c r="AU26" s="92"/>
      <c r="AV26" s="114">
        <f t="shared" si="28"/>
        <v>0</v>
      </c>
      <c r="AW26" s="92"/>
      <c r="AX26" s="92"/>
      <c r="AY26" s="114">
        <f t="shared" si="29"/>
        <v>0</v>
      </c>
      <c r="AZ26" s="92"/>
      <c r="BA26" s="92"/>
      <c r="BB26" s="114">
        <f t="shared" si="30"/>
        <v>0</v>
      </c>
      <c r="BC26" s="101"/>
      <c r="BD26" s="101"/>
      <c r="BE26" s="114">
        <f t="shared" si="31"/>
        <v>0</v>
      </c>
      <c r="BF26" s="101"/>
      <c r="BG26" s="101"/>
      <c r="BH26" s="114">
        <f t="shared" si="32"/>
        <v>0</v>
      </c>
      <c r="BI26" s="101"/>
      <c r="BJ26" s="101"/>
      <c r="BK26" s="114">
        <f t="shared" si="33"/>
        <v>0</v>
      </c>
      <c r="BL26" s="92"/>
      <c r="BM26" s="92"/>
      <c r="BN26" s="114">
        <f t="shared" si="0"/>
        <v>0</v>
      </c>
      <c r="BO26" s="92"/>
      <c r="BP26" s="92"/>
      <c r="BQ26" s="114">
        <f t="shared" si="1"/>
        <v>0</v>
      </c>
      <c r="BR26" s="92"/>
      <c r="BS26" s="92"/>
      <c r="BT26" s="114">
        <f t="shared" si="2"/>
        <v>0</v>
      </c>
      <c r="BU26" s="92"/>
      <c r="BV26" s="92"/>
      <c r="BW26" s="114">
        <f t="shared" si="3"/>
        <v>0</v>
      </c>
      <c r="BX26" s="92"/>
      <c r="BY26" s="92"/>
      <c r="BZ26" s="114">
        <f t="shared" si="4"/>
        <v>0</v>
      </c>
      <c r="CA26" s="92"/>
      <c r="CB26" s="92"/>
      <c r="CC26" s="114">
        <f t="shared" si="5"/>
        <v>0</v>
      </c>
      <c r="CD26" s="92"/>
      <c r="CE26" s="92"/>
      <c r="CF26" s="114">
        <f t="shared" si="6"/>
        <v>0</v>
      </c>
      <c r="CG26" s="92"/>
      <c r="CH26" s="92"/>
      <c r="CI26" s="114">
        <f t="shared" si="7"/>
        <v>0</v>
      </c>
      <c r="CJ26" s="92"/>
      <c r="CK26" s="92"/>
      <c r="CL26" s="114">
        <f t="shared" si="8"/>
        <v>0</v>
      </c>
      <c r="CM26" s="92"/>
      <c r="CN26" s="92"/>
      <c r="CO26" s="114">
        <f t="shared" si="34"/>
        <v>0</v>
      </c>
      <c r="CP26" s="92"/>
      <c r="CQ26" s="92"/>
      <c r="CR26" s="114">
        <f t="shared" si="9"/>
        <v>0</v>
      </c>
      <c r="CS26" s="92"/>
      <c r="CT26" s="92"/>
      <c r="CU26" s="114">
        <f t="shared" si="10"/>
        <v>0</v>
      </c>
      <c r="CV26" s="92"/>
      <c r="CW26" s="92"/>
      <c r="CX26" s="114">
        <f t="shared" si="11"/>
        <v>0</v>
      </c>
      <c r="CY26" s="92"/>
      <c r="CZ26" s="92"/>
      <c r="DA26" s="114">
        <f t="shared" si="12"/>
        <v>0</v>
      </c>
    </row>
    <row r="27" spans="1:105">
      <c r="A27" s="92"/>
      <c r="B27" s="92"/>
      <c r="C27" s="114">
        <f t="shared" si="13"/>
        <v>0</v>
      </c>
      <c r="D27" s="92"/>
      <c r="E27" s="92"/>
      <c r="F27" s="114">
        <f t="shared" si="14"/>
        <v>0</v>
      </c>
      <c r="G27" s="92"/>
      <c r="H27" s="92"/>
      <c r="I27" s="114">
        <f t="shared" si="15"/>
        <v>0</v>
      </c>
      <c r="J27" s="92"/>
      <c r="K27" s="92"/>
      <c r="L27" s="114">
        <f t="shared" si="16"/>
        <v>0</v>
      </c>
      <c r="M27" s="92"/>
      <c r="N27" s="92"/>
      <c r="O27" s="114">
        <f t="shared" si="17"/>
        <v>0</v>
      </c>
      <c r="P27" s="92"/>
      <c r="Q27" s="92"/>
      <c r="R27" s="114">
        <f t="shared" si="18"/>
        <v>0</v>
      </c>
      <c r="S27" s="92"/>
      <c r="T27" s="92"/>
      <c r="U27" s="114">
        <f t="shared" si="19"/>
        <v>0</v>
      </c>
      <c r="V27" s="92"/>
      <c r="W27" s="92"/>
      <c r="X27" s="114">
        <f t="shared" si="20"/>
        <v>0</v>
      </c>
      <c r="Y27" s="92"/>
      <c r="Z27" s="92"/>
      <c r="AA27" s="114">
        <f t="shared" si="21"/>
        <v>0</v>
      </c>
      <c r="AB27" s="92"/>
      <c r="AC27" s="92"/>
      <c r="AD27" s="114">
        <f t="shared" si="22"/>
        <v>0</v>
      </c>
      <c r="AE27" s="92"/>
      <c r="AF27" s="92"/>
      <c r="AG27" s="114">
        <f t="shared" si="23"/>
        <v>0</v>
      </c>
      <c r="AH27" s="92"/>
      <c r="AI27" s="92"/>
      <c r="AJ27" s="114">
        <f t="shared" si="24"/>
        <v>0</v>
      </c>
      <c r="AK27" s="92"/>
      <c r="AL27" s="92"/>
      <c r="AM27" s="114">
        <f t="shared" si="25"/>
        <v>0</v>
      </c>
      <c r="AN27" s="92"/>
      <c r="AO27" s="92"/>
      <c r="AP27" s="114">
        <f t="shared" si="26"/>
        <v>0</v>
      </c>
      <c r="AQ27" s="92"/>
      <c r="AR27" s="92"/>
      <c r="AS27" s="114">
        <f t="shared" si="27"/>
        <v>0</v>
      </c>
      <c r="AT27" s="92"/>
      <c r="AU27" s="92"/>
      <c r="AV27" s="114">
        <f t="shared" si="28"/>
        <v>0</v>
      </c>
      <c r="AW27" s="92"/>
      <c r="AX27" s="92"/>
      <c r="AY27" s="114">
        <f t="shared" si="29"/>
        <v>0</v>
      </c>
      <c r="AZ27" s="92"/>
      <c r="BA27" s="92"/>
      <c r="BB27" s="114">
        <f t="shared" si="30"/>
        <v>0</v>
      </c>
      <c r="BC27" s="101"/>
      <c r="BD27" s="101"/>
      <c r="BE27" s="114">
        <f t="shared" si="31"/>
        <v>0</v>
      </c>
      <c r="BF27" s="101"/>
      <c r="BG27" s="101"/>
      <c r="BH27" s="114">
        <f t="shared" si="32"/>
        <v>0</v>
      </c>
      <c r="BI27" s="101"/>
      <c r="BJ27" s="101"/>
      <c r="BK27" s="114">
        <f t="shared" si="33"/>
        <v>0</v>
      </c>
      <c r="BL27" s="92"/>
      <c r="BM27" s="92"/>
      <c r="BN27" s="114">
        <f t="shared" si="0"/>
        <v>0</v>
      </c>
      <c r="BO27" s="92"/>
      <c r="BP27" s="92"/>
      <c r="BQ27" s="114">
        <f t="shared" si="1"/>
        <v>0</v>
      </c>
      <c r="BR27" s="92"/>
      <c r="BS27" s="92"/>
      <c r="BT27" s="114">
        <f t="shared" si="2"/>
        <v>0</v>
      </c>
      <c r="BU27" s="92"/>
      <c r="BV27" s="92"/>
      <c r="BW27" s="114">
        <f t="shared" si="3"/>
        <v>0</v>
      </c>
      <c r="BX27" s="92"/>
      <c r="BY27" s="92"/>
      <c r="BZ27" s="114">
        <f t="shared" si="4"/>
        <v>0</v>
      </c>
      <c r="CA27" s="92"/>
      <c r="CB27" s="92"/>
      <c r="CC27" s="114">
        <f t="shared" si="5"/>
        <v>0</v>
      </c>
      <c r="CD27" s="92"/>
      <c r="CE27" s="92"/>
      <c r="CF27" s="114">
        <f t="shared" si="6"/>
        <v>0</v>
      </c>
      <c r="CG27" s="92"/>
      <c r="CH27" s="92"/>
      <c r="CI27" s="114">
        <f t="shared" si="7"/>
        <v>0</v>
      </c>
      <c r="CJ27" s="92"/>
      <c r="CK27" s="92"/>
      <c r="CL27" s="114">
        <f t="shared" si="8"/>
        <v>0</v>
      </c>
      <c r="CM27" s="92"/>
      <c r="CN27" s="92"/>
      <c r="CO27" s="114">
        <f t="shared" si="34"/>
        <v>0</v>
      </c>
      <c r="CP27" s="92"/>
      <c r="CQ27" s="92"/>
      <c r="CR27" s="114">
        <f t="shared" si="9"/>
        <v>0</v>
      </c>
      <c r="CS27" s="92"/>
      <c r="CT27" s="92"/>
      <c r="CU27" s="114">
        <f t="shared" si="10"/>
        <v>0</v>
      </c>
      <c r="CV27" s="92"/>
      <c r="CW27" s="92"/>
      <c r="CX27" s="114">
        <f t="shared" si="11"/>
        <v>0</v>
      </c>
      <c r="CY27" s="92"/>
      <c r="CZ27" s="92"/>
      <c r="DA27" s="114">
        <f t="shared" si="12"/>
        <v>0</v>
      </c>
    </row>
    <row r="28" spans="1:105">
      <c r="A28" s="92"/>
      <c r="B28" s="92"/>
      <c r="C28" s="114">
        <f t="shared" si="13"/>
        <v>0</v>
      </c>
      <c r="D28" s="92"/>
      <c r="E28" s="92"/>
      <c r="F28" s="114">
        <f t="shared" si="14"/>
        <v>0</v>
      </c>
      <c r="G28" s="92"/>
      <c r="H28" s="92"/>
      <c r="I28" s="114">
        <f t="shared" si="15"/>
        <v>0</v>
      </c>
      <c r="J28" s="92"/>
      <c r="K28" s="92"/>
      <c r="L28" s="114">
        <f t="shared" si="16"/>
        <v>0</v>
      </c>
      <c r="M28" s="92"/>
      <c r="N28" s="92"/>
      <c r="O28" s="114">
        <f t="shared" si="17"/>
        <v>0</v>
      </c>
      <c r="P28" s="92"/>
      <c r="Q28" s="92"/>
      <c r="R28" s="114">
        <f t="shared" si="18"/>
        <v>0</v>
      </c>
      <c r="S28" s="92"/>
      <c r="T28" s="92"/>
      <c r="U28" s="114">
        <f t="shared" si="19"/>
        <v>0</v>
      </c>
      <c r="V28" s="92"/>
      <c r="W28" s="92"/>
      <c r="X28" s="114">
        <f t="shared" si="20"/>
        <v>0</v>
      </c>
      <c r="Y28" s="92"/>
      <c r="Z28" s="92"/>
      <c r="AA28" s="114">
        <f t="shared" si="21"/>
        <v>0</v>
      </c>
      <c r="AB28" s="92"/>
      <c r="AC28" s="92"/>
      <c r="AD28" s="114">
        <f t="shared" si="22"/>
        <v>0</v>
      </c>
      <c r="AE28" s="92"/>
      <c r="AF28" s="92"/>
      <c r="AG28" s="114">
        <f t="shared" si="23"/>
        <v>0</v>
      </c>
      <c r="AH28" s="92"/>
      <c r="AI28" s="92"/>
      <c r="AJ28" s="114">
        <f t="shared" si="24"/>
        <v>0</v>
      </c>
      <c r="AK28" s="92"/>
      <c r="AL28" s="92"/>
      <c r="AM28" s="114">
        <f t="shared" si="25"/>
        <v>0</v>
      </c>
      <c r="AN28" s="92"/>
      <c r="AO28" s="92"/>
      <c r="AP28" s="114">
        <f t="shared" si="26"/>
        <v>0</v>
      </c>
      <c r="AQ28" s="92"/>
      <c r="AR28" s="92"/>
      <c r="AS28" s="114">
        <f t="shared" si="27"/>
        <v>0</v>
      </c>
      <c r="AT28" s="92"/>
      <c r="AU28" s="92"/>
      <c r="AV28" s="114">
        <f t="shared" si="28"/>
        <v>0</v>
      </c>
      <c r="AW28" s="92"/>
      <c r="AX28" s="92"/>
      <c r="AY28" s="114">
        <f t="shared" si="29"/>
        <v>0</v>
      </c>
      <c r="AZ28" s="92"/>
      <c r="BA28" s="92"/>
      <c r="BB28" s="114">
        <f t="shared" si="30"/>
        <v>0</v>
      </c>
      <c r="BC28" s="101"/>
      <c r="BD28" s="101"/>
      <c r="BE28" s="114">
        <f t="shared" si="31"/>
        <v>0</v>
      </c>
      <c r="BF28" s="101"/>
      <c r="BG28" s="101"/>
      <c r="BH28" s="114">
        <f t="shared" si="32"/>
        <v>0</v>
      </c>
      <c r="BI28" s="101"/>
      <c r="BJ28" s="101"/>
      <c r="BK28" s="114">
        <f t="shared" si="33"/>
        <v>0</v>
      </c>
      <c r="BL28" s="92"/>
      <c r="BM28" s="92"/>
      <c r="BN28" s="114">
        <f t="shared" si="0"/>
        <v>0</v>
      </c>
      <c r="BO28" s="92"/>
      <c r="BP28" s="92"/>
      <c r="BQ28" s="114">
        <f t="shared" si="1"/>
        <v>0</v>
      </c>
      <c r="BR28" s="92"/>
      <c r="BS28" s="92"/>
      <c r="BT28" s="114">
        <f t="shared" si="2"/>
        <v>0</v>
      </c>
      <c r="BU28" s="92"/>
      <c r="BV28" s="92"/>
      <c r="BW28" s="114">
        <f t="shared" si="3"/>
        <v>0</v>
      </c>
      <c r="BX28" s="92"/>
      <c r="BY28" s="92"/>
      <c r="BZ28" s="114">
        <f t="shared" si="4"/>
        <v>0</v>
      </c>
      <c r="CA28" s="92"/>
      <c r="CB28" s="92"/>
      <c r="CC28" s="114">
        <f t="shared" si="5"/>
        <v>0</v>
      </c>
      <c r="CD28" s="92"/>
      <c r="CE28" s="92"/>
      <c r="CF28" s="114">
        <f t="shared" si="6"/>
        <v>0</v>
      </c>
      <c r="CG28" s="92"/>
      <c r="CH28" s="92"/>
      <c r="CI28" s="114">
        <f t="shared" si="7"/>
        <v>0</v>
      </c>
      <c r="CJ28" s="92"/>
      <c r="CK28" s="92"/>
      <c r="CL28" s="114">
        <f t="shared" si="8"/>
        <v>0</v>
      </c>
      <c r="CM28" s="92"/>
      <c r="CN28" s="92"/>
      <c r="CO28" s="114">
        <f t="shared" si="34"/>
        <v>0</v>
      </c>
      <c r="CP28" s="92"/>
      <c r="CQ28" s="92"/>
      <c r="CR28" s="114">
        <f t="shared" si="9"/>
        <v>0</v>
      </c>
      <c r="CS28" s="92"/>
      <c r="CT28" s="92"/>
      <c r="CU28" s="114">
        <f t="shared" si="10"/>
        <v>0</v>
      </c>
      <c r="CV28" s="92"/>
      <c r="CW28" s="92"/>
      <c r="CX28" s="114">
        <f t="shared" si="11"/>
        <v>0</v>
      </c>
      <c r="CY28" s="92"/>
      <c r="CZ28" s="92"/>
      <c r="DA28" s="114">
        <f t="shared" si="12"/>
        <v>0</v>
      </c>
    </row>
    <row r="29" spans="1:105">
      <c r="A29" s="92"/>
      <c r="B29" s="92"/>
      <c r="C29" s="114">
        <f t="shared" si="13"/>
        <v>0</v>
      </c>
      <c r="D29" s="92"/>
      <c r="E29" s="92"/>
      <c r="F29" s="114">
        <f t="shared" si="14"/>
        <v>0</v>
      </c>
      <c r="G29" s="92"/>
      <c r="H29" s="92"/>
      <c r="I29" s="114">
        <f t="shared" si="15"/>
        <v>0</v>
      </c>
      <c r="J29" s="92"/>
      <c r="K29" s="92"/>
      <c r="L29" s="114">
        <f t="shared" si="16"/>
        <v>0</v>
      </c>
      <c r="M29" s="92"/>
      <c r="N29" s="92"/>
      <c r="O29" s="114">
        <f t="shared" si="17"/>
        <v>0</v>
      </c>
      <c r="P29" s="92"/>
      <c r="Q29" s="92"/>
      <c r="R29" s="114">
        <f t="shared" si="18"/>
        <v>0</v>
      </c>
      <c r="S29" s="92"/>
      <c r="T29" s="92"/>
      <c r="U29" s="114">
        <f t="shared" si="19"/>
        <v>0</v>
      </c>
      <c r="V29" s="92"/>
      <c r="W29" s="92"/>
      <c r="X29" s="114">
        <f t="shared" si="20"/>
        <v>0</v>
      </c>
      <c r="Y29" s="92"/>
      <c r="Z29" s="92"/>
      <c r="AA29" s="114">
        <f t="shared" si="21"/>
        <v>0</v>
      </c>
      <c r="AB29" s="92"/>
      <c r="AC29" s="92"/>
      <c r="AD29" s="114">
        <f t="shared" si="22"/>
        <v>0</v>
      </c>
      <c r="AE29" s="92"/>
      <c r="AF29" s="92"/>
      <c r="AG29" s="114">
        <f t="shared" si="23"/>
        <v>0</v>
      </c>
      <c r="AH29" s="92"/>
      <c r="AI29" s="92"/>
      <c r="AJ29" s="114">
        <f t="shared" si="24"/>
        <v>0</v>
      </c>
      <c r="AK29" s="92"/>
      <c r="AL29" s="92"/>
      <c r="AM29" s="114">
        <f t="shared" si="25"/>
        <v>0</v>
      </c>
      <c r="AN29" s="92"/>
      <c r="AO29" s="92"/>
      <c r="AP29" s="114">
        <f t="shared" si="26"/>
        <v>0</v>
      </c>
      <c r="AQ29" s="92"/>
      <c r="AR29" s="92"/>
      <c r="AS29" s="114">
        <f t="shared" si="27"/>
        <v>0</v>
      </c>
      <c r="AT29" s="92"/>
      <c r="AU29" s="92"/>
      <c r="AV29" s="114">
        <f t="shared" si="28"/>
        <v>0</v>
      </c>
      <c r="AW29" s="92"/>
      <c r="AX29" s="92"/>
      <c r="AY29" s="114">
        <f t="shared" si="29"/>
        <v>0</v>
      </c>
      <c r="AZ29" s="92"/>
      <c r="BA29" s="92"/>
      <c r="BB29" s="114">
        <f t="shared" si="30"/>
        <v>0</v>
      </c>
      <c r="BC29" s="101"/>
      <c r="BD29" s="101"/>
      <c r="BE29" s="114">
        <f t="shared" si="31"/>
        <v>0</v>
      </c>
      <c r="BF29" s="101"/>
      <c r="BG29" s="101"/>
      <c r="BH29" s="114">
        <f t="shared" si="32"/>
        <v>0</v>
      </c>
      <c r="BI29" s="101"/>
      <c r="BJ29" s="101"/>
      <c r="BK29" s="114">
        <f t="shared" si="33"/>
        <v>0</v>
      </c>
      <c r="BL29" s="92"/>
      <c r="BM29" s="92"/>
      <c r="BN29" s="114">
        <f t="shared" si="0"/>
        <v>0</v>
      </c>
      <c r="BO29" s="92"/>
      <c r="BP29" s="92"/>
      <c r="BQ29" s="114">
        <f t="shared" si="1"/>
        <v>0</v>
      </c>
      <c r="BR29" s="92"/>
      <c r="BS29" s="92"/>
      <c r="BT29" s="114">
        <f t="shared" si="2"/>
        <v>0</v>
      </c>
      <c r="BU29" s="92"/>
      <c r="BV29" s="92"/>
      <c r="BW29" s="114">
        <f t="shared" si="3"/>
        <v>0</v>
      </c>
      <c r="BX29" s="92"/>
      <c r="BY29" s="92"/>
      <c r="BZ29" s="114">
        <f t="shared" si="4"/>
        <v>0</v>
      </c>
      <c r="CA29" s="92"/>
      <c r="CB29" s="92"/>
      <c r="CC29" s="114">
        <f t="shared" si="5"/>
        <v>0</v>
      </c>
      <c r="CD29" s="92"/>
      <c r="CE29" s="92"/>
      <c r="CF29" s="114">
        <f t="shared" si="6"/>
        <v>0</v>
      </c>
      <c r="CG29" s="92"/>
      <c r="CH29" s="92"/>
      <c r="CI29" s="114">
        <f t="shared" si="7"/>
        <v>0</v>
      </c>
      <c r="CJ29" s="92"/>
      <c r="CK29" s="92"/>
      <c r="CL29" s="114">
        <f t="shared" si="8"/>
        <v>0</v>
      </c>
      <c r="CM29" s="92"/>
      <c r="CN29" s="92"/>
      <c r="CO29" s="114">
        <f t="shared" si="34"/>
        <v>0</v>
      </c>
      <c r="CP29" s="92"/>
      <c r="CQ29" s="92"/>
      <c r="CR29" s="114">
        <f t="shared" si="9"/>
        <v>0</v>
      </c>
      <c r="CS29" s="92"/>
      <c r="CT29" s="92"/>
      <c r="CU29" s="114">
        <f t="shared" si="10"/>
        <v>0</v>
      </c>
      <c r="CV29" s="92"/>
      <c r="CW29" s="92"/>
      <c r="CX29" s="114">
        <f t="shared" si="11"/>
        <v>0</v>
      </c>
      <c r="CY29" s="92"/>
      <c r="CZ29" s="92"/>
      <c r="DA29" s="114">
        <f t="shared" si="12"/>
        <v>0</v>
      </c>
    </row>
    <row r="30" spans="1:105">
      <c r="A30" s="92"/>
      <c r="B30" s="92"/>
      <c r="C30" s="114">
        <f t="shared" si="13"/>
        <v>0</v>
      </c>
      <c r="D30" s="92"/>
      <c r="E30" s="92"/>
      <c r="F30" s="114">
        <f t="shared" si="14"/>
        <v>0</v>
      </c>
      <c r="G30" s="92"/>
      <c r="H30" s="92"/>
      <c r="I30" s="114">
        <f t="shared" si="15"/>
        <v>0</v>
      </c>
      <c r="J30" s="92"/>
      <c r="K30" s="92"/>
      <c r="L30" s="114">
        <f t="shared" si="16"/>
        <v>0</v>
      </c>
      <c r="M30" s="92"/>
      <c r="N30" s="92"/>
      <c r="O30" s="114">
        <f t="shared" si="17"/>
        <v>0</v>
      </c>
      <c r="P30" s="92"/>
      <c r="Q30" s="92"/>
      <c r="R30" s="114">
        <f t="shared" si="18"/>
        <v>0</v>
      </c>
      <c r="S30" s="92"/>
      <c r="T30" s="92"/>
      <c r="U30" s="114">
        <f t="shared" si="19"/>
        <v>0</v>
      </c>
      <c r="V30" s="92"/>
      <c r="W30" s="92"/>
      <c r="X30" s="114">
        <f t="shared" si="20"/>
        <v>0</v>
      </c>
      <c r="Y30" s="92"/>
      <c r="Z30" s="92"/>
      <c r="AA30" s="114">
        <f t="shared" si="21"/>
        <v>0</v>
      </c>
      <c r="AB30" s="92"/>
      <c r="AC30" s="92"/>
      <c r="AD30" s="114">
        <f t="shared" si="22"/>
        <v>0</v>
      </c>
      <c r="AE30" s="92"/>
      <c r="AF30" s="92"/>
      <c r="AG30" s="114">
        <f t="shared" si="23"/>
        <v>0</v>
      </c>
      <c r="AH30" s="92"/>
      <c r="AI30" s="92"/>
      <c r="AJ30" s="114">
        <f t="shared" si="24"/>
        <v>0</v>
      </c>
      <c r="AK30" s="92"/>
      <c r="AL30" s="92"/>
      <c r="AM30" s="114">
        <f t="shared" si="25"/>
        <v>0</v>
      </c>
      <c r="AN30" s="92"/>
      <c r="AO30" s="92"/>
      <c r="AP30" s="114">
        <f t="shared" si="26"/>
        <v>0</v>
      </c>
      <c r="AQ30" s="92"/>
      <c r="AR30" s="92"/>
      <c r="AS30" s="114">
        <f t="shared" si="27"/>
        <v>0</v>
      </c>
      <c r="AT30" s="92"/>
      <c r="AU30" s="92"/>
      <c r="AV30" s="114">
        <f t="shared" si="28"/>
        <v>0</v>
      </c>
      <c r="AW30" s="92"/>
      <c r="AX30" s="92"/>
      <c r="AY30" s="114">
        <f t="shared" si="29"/>
        <v>0</v>
      </c>
      <c r="AZ30" s="92"/>
      <c r="BA30" s="92"/>
      <c r="BB30" s="114">
        <f t="shared" si="30"/>
        <v>0</v>
      </c>
      <c r="BC30" s="101"/>
      <c r="BD30" s="101"/>
      <c r="BE30" s="114">
        <f t="shared" si="31"/>
        <v>0</v>
      </c>
      <c r="BF30" s="101"/>
      <c r="BG30" s="101"/>
      <c r="BH30" s="114">
        <f t="shared" si="32"/>
        <v>0</v>
      </c>
      <c r="BI30" s="101"/>
      <c r="BJ30" s="101"/>
      <c r="BK30" s="114">
        <f t="shared" si="33"/>
        <v>0</v>
      </c>
      <c r="BL30" s="92"/>
      <c r="BM30" s="92"/>
      <c r="BN30" s="114">
        <f t="shared" si="0"/>
        <v>0</v>
      </c>
      <c r="BO30" s="92"/>
      <c r="BP30" s="92"/>
      <c r="BQ30" s="114">
        <f t="shared" si="1"/>
        <v>0</v>
      </c>
      <c r="BR30" s="92"/>
      <c r="BS30" s="92"/>
      <c r="BT30" s="114">
        <f t="shared" si="2"/>
        <v>0</v>
      </c>
      <c r="BU30" s="92"/>
      <c r="BV30" s="92"/>
      <c r="BW30" s="114">
        <f t="shared" si="3"/>
        <v>0</v>
      </c>
      <c r="BX30" s="92"/>
      <c r="BY30" s="92"/>
      <c r="BZ30" s="114">
        <f t="shared" si="4"/>
        <v>0</v>
      </c>
      <c r="CA30" s="92"/>
      <c r="CB30" s="92"/>
      <c r="CC30" s="114">
        <f t="shared" si="5"/>
        <v>0</v>
      </c>
      <c r="CD30" s="92"/>
      <c r="CE30" s="92"/>
      <c r="CF30" s="114">
        <f t="shared" si="6"/>
        <v>0</v>
      </c>
      <c r="CG30" s="92"/>
      <c r="CH30" s="92"/>
      <c r="CI30" s="114">
        <f t="shared" si="7"/>
        <v>0</v>
      </c>
      <c r="CJ30" s="92"/>
      <c r="CK30" s="92"/>
      <c r="CL30" s="114">
        <f t="shared" si="8"/>
        <v>0</v>
      </c>
      <c r="CM30" s="92"/>
      <c r="CN30" s="92"/>
      <c r="CO30" s="114">
        <f t="shared" si="34"/>
        <v>0</v>
      </c>
      <c r="CP30" s="92"/>
      <c r="CQ30" s="92"/>
      <c r="CR30" s="114">
        <f t="shared" si="9"/>
        <v>0</v>
      </c>
      <c r="CS30" s="92"/>
      <c r="CT30" s="92"/>
      <c r="CU30" s="114">
        <f t="shared" si="10"/>
        <v>0</v>
      </c>
      <c r="CV30" s="92"/>
      <c r="CW30" s="92"/>
      <c r="CX30" s="114">
        <f t="shared" si="11"/>
        <v>0</v>
      </c>
      <c r="CY30" s="92"/>
      <c r="CZ30" s="92"/>
      <c r="DA30" s="114">
        <f t="shared" si="12"/>
        <v>0</v>
      </c>
    </row>
    <row r="31" spans="1:105">
      <c r="A31" s="92"/>
      <c r="B31" s="92"/>
      <c r="C31" s="114">
        <f t="shared" si="13"/>
        <v>0</v>
      </c>
      <c r="D31" s="92"/>
      <c r="E31" s="92"/>
      <c r="F31" s="114">
        <f t="shared" si="14"/>
        <v>0</v>
      </c>
      <c r="G31" s="92"/>
      <c r="H31" s="92"/>
      <c r="I31" s="114">
        <f t="shared" si="15"/>
        <v>0</v>
      </c>
      <c r="J31" s="92"/>
      <c r="K31" s="92"/>
      <c r="L31" s="114">
        <f t="shared" si="16"/>
        <v>0</v>
      </c>
      <c r="M31" s="92"/>
      <c r="N31" s="92"/>
      <c r="O31" s="114">
        <f t="shared" si="17"/>
        <v>0</v>
      </c>
      <c r="P31" s="92"/>
      <c r="Q31" s="92"/>
      <c r="R31" s="114">
        <f t="shared" si="18"/>
        <v>0</v>
      </c>
      <c r="S31" s="92"/>
      <c r="T31" s="92"/>
      <c r="U31" s="114">
        <f t="shared" si="19"/>
        <v>0</v>
      </c>
      <c r="V31" s="92"/>
      <c r="W31" s="92"/>
      <c r="X31" s="114">
        <f t="shared" si="20"/>
        <v>0</v>
      </c>
      <c r="Y31" s="92"/>
      <c r="Z31" s="92"/>
      <c r="AA31" s="114">
        <f t="shared" si="21"/>
        <v>0</v>
      </c>
      <c r="AB31" s="92"/>
      <c r="AC31" s="92"/>
      <c r="AD31" s="114">
        <f t="shared" si="22"/>
        <v>0</v>
      </c>
      <c r="AE31" s="92"/>
      <c r="AF31" s="92"/>
      <c r="AG31" s="114">
        <f t="shared" si="23"/>
        <v>0</v>
      </c>
      <c r="AH31" s="92"/>
      <c r="AI31" s="92"/>
      <c r="AJ31" s="114">
        <f t="shared" si="24"/>
        <v>0</v>
      </c>
      <c r="AK31" s="92"/>
      <c r="AL31" s="92"/>
      <c r="AM31" s="114">
        <f t="shared" si="25"/>
        <v>0</v>
      </c>
      <c r="AN31" s="92"/>
      <c r="AO31" s="92"/>
      <c r="AP31" s="114">
        <f t="shared" si="26"/>
        <v>0</v>
      </c>
      <c r="AQ31" s="92"/>
      <c r="AR31" s="92"/>
      <c r="AS31" s="114">
        <f t="shared" si="27"/>
        <v>0</v>
      </c>
      <c r="AT31" s="92"/>
      <c r="AU31" s="92"/>
      <c r="AV31" s="114">
        <f t="shared" si="28"/>
        <v>0</v>
      </c>
      <c r="AW31" s="92"/>
      <c r="AX31" s="92"/>
      <c r="AY31" s="114">
        <f t="shared" si="29"/>
        <v>0</v>
      </c>
      <c r="AZ31" s="92"/>
      <c r="BA31" s="92"/>
      <c r="BB31" s="114">
        <f t="shared" si="30"/>
        <v>0</v>
      </c>
      <c r="BC31" s="101"/>
      <c r="BD31" s="101"/>
      <c r="BE31" s="114">
        <f t="shared" si="31"/>
        <v>0</v>
      </c>
      <c r="BF31" s="101"/>
      <c r="BG31" s="101"/>
      <c r="BH31" s="114">
        <f t="shared" si="32"/>
        <v>0</v>
      </c>
      <c r="BI31" s="101"/>
      <c r="BJ31" s="101"/>
      <c r="BK31" s="114">
        <f t="shared" si="33"/>
        <v>0</v>
      </c>
      <c r="BL31" s="92"/>
      <c r="BM31" s="92"/>
      <c r="BN31" s="114">
        <f t="shared" si="0"/>
        <v>0</v>
      </c>
      <c r="BO31" s="92"/>
      <c r="BP31" s="92"/>
      <c r="BQ31" s="114">
        <f t="shared" si="1"/>
        <v>0</v>
      </c>
      <c r="BR31" s="92"/>
      <c r="BS31" s="92"/>
      <c r="BT31" s="114">
        <f t="shared" si="2"/>
        <v>0</v>
      </c>
      <c r="BU31" s="92"/>
      <c r="BV31" s="92"/>
      <c r="BW31" s="114">
        <f t="shared" si="3"/>
        <v>0</v>
      </c>
      <c r="BX31" s="92"/>
      <c r="BY31" s="92"/>
      <c r="BZ31" s="114">
        <f t="shared" si="4"/>
        <v>0</v>
      </c>
      <c r="CA31" s="92"/>
      <c r="CB31" s="92"/>
      <c r="CC31" s="114">
        <f t="shared" si="5"/>
        <v>0</v>
      </c>
      <c r="CD31" s="92"/>
      <c r="CE31" s="92"/>
      <c r="CF31" s="114">
        <f t="shared" si="6"/>
        <v>0</v>
      </c>
      <c r="CG31" s="92"/>
      <c r="CH31" s="92"/>
      <c r="CI31" s="114">
        <f t="shared" si="7"/>
        <v>0</v>
      </c>
      <c r="CJ31" s="92"/>
      <c r="CK31" s="92"/>
      <c r="CL31" s="114">
        <f t="shared" si="8"/>
        <v>0</v>
      </c>
      <c r="CM31" s="92"/>
      <c r="CN31" s="92"/>
      <c r="CO31" s="114">
        <f t="shared" si="34"/>
        <v>0</v>
      </c>
      <c r="CP31" s="92"/>
      <c r="CQ31" s="92"/>
      <c r="CR31" s="114">
        <f t="shared" si="9"/>
        <v>0</v>
      </c>
      <c r="CS31" s="92"/>
      <c r="CT31" s="92"/>
      <c r="CU31" s="114">
        <f t="shared" si="10"/>
        <v>0</v>
      </c>
      <c r="CV31" s="92"/>
      <c r="CW31" s="92"/>
      <c r="CX31" s="114">
        <f t="shared" si="11"/>
        <v>0</v>
      </c>
      <c r="CY31" s="92"/>
      <c r="CZ31" s="92"/>
      <c r="DA31" s="114">
        <f t="shared" si="12"/>
        <v>0</v>
      </c>
    </row>
    <row r="32" spans="1:105">
      <c r="A32" s="92"/>
      <c r="B32" s="92"/>
      <c r="C32" s="114">
        <f t="shared" si="13"/>
        <v>0</v>
      </c>
      <c r="D32" s="92"/>
      <c r="E32" s="92"/>
      <c r="F32" s="114">
        <f t="shared" si="14"/>
        <v>0</v>
      </c>
      <c r="G32" s="92"/>
      <c r="H32" s="92"/>
      <c r="I32" s="114">
        <f t="shared" si="15"/>
        <v>0</v>
      </c>
      <c r="J32" s="92"/>
      <c r="K32" s="92"/>
      <c r="L32" s="114">
        <f t="shared" si="16"/>
        <v>0</v>
      </c>
      <c r="M32" s="92"/>
      <c r="N32" s="92"/>
      <c r="O32" s="114">
        <f t="shared" si="17"/>
        <v>0</v>
      </c>
      <c r="P32" s="92"/>
      <c r="Q32" s="92"/>
      <c r="R32" s="114">
        <f t="shared" si="18"/>
        <v>0</v>
      </c>
      <c r="S32" s="92"/>
      <c r="T32" s="92"/>
      <c r="U32" s="114">
        <f t="shared" si="19"/>
        <v>0</v>
      </c>
      <c r="V32" s="92"/>
      <c r="W32" s="92"/>
      <c r="X32" s="114">
        <f t="shared" si="20"/>
        <v>0</v>
      </c>
      <c r="Y32" s="92"/>
      <c r="Z32" s="92"/>
      <c r="AA32" s="114">
        <f t="shared" si="21"/>
        <v>0</v>
      </c>
      <c r="AB32" s="92"/>
      <c r="AC32" s="92"/>
      <c r="AD32" s="114">
        <f t="shared" si="22"/>
        <v>0</v>
      </c>
      <c r="AE32" s="92"/>
      <c r="AF32" s="92"/>
      <c r="AG32" s="114">
        <f t="shared" si="23"/>
        <v>0</v>
      </c>
      <c r="AH32" s="92"/>
      <c r="AI32" s="92"/>
      <c r="AJ32" s="114">
        <f t="shared" si="24"/>
        <v>0</v>
      </c>
      <c r="AK32" s="92"/>
      <c r="AL32" s="92"/>
      <c r="AM32" s="114">
        <f t="shared" si="25"/>
        <v>0</v>
      </c>
      <c r="AN32" s="92"/>
      <c r="AO32" s="92"/>
      <c r="AP32" s="114">
        <f t="shared" si="26"/>
        <v>0</v>
      </c>
      <c r="AQ32" s="92"/>
      <c r="AR32" s="92"/>
      <c r="AS32" s="114">
        <f t="shared" si="27"/>
        <v>0</v>
      </c>
      <c r="AT32" s="92"/>
      <c r="AU32" s="92"/>
      <c r="AV32" s="114">
        <f t="shared" si="28"/>
        <v>0</v>
      </c>
      <c r="AW32" s="92"/>
      <c r="AX32" s="92"/>
      <c r="AY32" s="114">
        <f t="shared" si="29"/>
        <v>0</v>
      </c>
      <c r="AZ32" s="92"/>
      <c r="BA32" s="92"/>
      <c r="BB32" s="114">
        <f t="shared" si="30"/>
        <v>0</v>
      </c>
      <c r="BC32" s="101"/>
      <c r="BD32" s="101"/>
      <c r="BE32" s="114">
        <f t="shared" si="31"/>
        <v>0</v>
      </c>
      <c r="BF32" s="101"/>
      <c r="BG32" s="101"/>
      <c r="BH32" s="114">
        <f t="shared" si="32"/>
        <v>0</v>
      </c>
      <c r="BI32" s="101"/>
      <c r="BJ32" s="101"/>
      <c r="BK32" s="114">
        <f t="shared" si="33"/>
        <v>0</v>
      </c>
      <c r="BL32" s="92"/>
      <c r="BM32" s="92"/>
      <c r="BN32" s="114">
        <f t="shared" si="0"/>
        <v>0</v>
      </c>
      <c r="BO32" s="92"/>
      <c r="BP32" s="92"/>
      <c r="BQ32" s="114">
        <f t="shared" si="1"/>
        <v>0</v>
      </c>
      <c r="BR32" s="92"/>
      <c r="BS32" s="92"/>
      <c r="BT32" s="114">
        <f t="shared" si="2"/>
        <v>0</v>
      </c>
      <c r="BU32" s="92"/>
      <c r="BV32" s="92"/>
      <c r="BW32" s="114">
        <f t="shared" si="3"/>
        <v>0</v>
      </c>
      <c r="BX32" s="92"/>
      <c r="BY32" s="92"/>
      <c r="BZ32" s="114">
        <f t="shared" si="4"/>
        <v>0</v>
      </c>
      <c r="CA32" s="92"/>
      <c r="CB32" s="92"/>
      <c r="CC32" s="114">
        <f t="shared" si="5"/>
        <v>0</v>
      </c>
      <c r="CD32" s="92"/>
      <c r="CE32" s="92"/>
      <c r="CF32" s="114">
        <f t="shared" si="6"/>
        <v>0</v>
      </c>
      <c r="CG32" s="92"/>
      <c r="CH32" s="92"/>
      <c r="CI32" s="114">
        <f t="shared" si="7"/>
        <v>0</v>
      </c>
      <c r="CJ32" s="92"/>
      <c r="CK32" s="92"/>
      <c r="CL32" s="114">
        <f t="shared" si="8"/>
        <v>0</v>
      </c>
      <c r="CM32" s="92"/>
      <c r="CN32" s="92"/>
      <c r="CO32" s="114">
        <f t="shared" si="34"/>
        <v>0</v>
      </c>
      <c r="CP32" s="92"/>
      <c r="CQ32" s="92"/>
      <c r="CR32" s="114">
        <f t="shared" si="9"/>
        <v>0</v>
      </c>
      <c r="CS32" s="92"/>
      <c r="CT32" s="92"/>
      <c r="CU32" s="114">
        <f t="shared" si="10"/>
        <v>0</v>
      </c>
      <c r="CV32" s="92"/>
      <c r="CW32" s="92"/>
      <c r="CX32" s="114">
        <f t="shared" si="11"/>
        <v>0</v>
      </c>
      <c r="CY32" s="92"/>
      <c r="CZ32" s="92"/>
      <c r="DA32" s="114">
        <f t="shared" si="12"/>
        <v>0</v>
      </c>
    </row>
    <row r="33" spans="1:105">
      <c r="A33" s="92"/>
      <c r="B33" s="92"/>
      <c r="C33" s="114">
        <f t="shared" si="13"/>
        <v>0</v>
      </c>
      <c r="D33" s="92"/>
      <c r="E33" s="92"/>
      <c r="F33" s="114">
        <f t="shared" si="14"/>
        <v>0</v>
      </c>
      <c r="G33" s="92"/>
      <c r="H33" s="92"/>
      <c r="I33" s="114">
        <f t="shared" si="15"/>
        <v>0</v>
      </c>
      <c r="J33" s="92"/>
      <c r="K33" s="92"/>
      <c r="L33" s="114">
        <f t="shared" si="16"/>
        <v>0</v>
      </c>
      <c r="M33" s="92"/>
      <c r="N33" s="92"/>
      <c r="O33" s="114">
        <f t="shared" si="17"/>
        <v>0</v>
      </c>
      <c r="P33" s="92"/>
      <c r="Q33" s="92"/>
      <c r="R33" s="114">
        <f t="shared" si="18"/>
        <v>0</v>
      </c>
      <c r="S33" s="92"/>
      <c r="T33" s="92"/>
      <c r="U33" s="114">
        <f t="shared" si="19"/>
        <v>0</v>
      </c>
      <c r="V33" s="92"/>
      <c r="W33" s="92"/>
      <c r="X33" s="114">
        <f t="shared" si="20"/>
        <v>0</v>
      </c>
      <c r="Y33" s="92"/>
      <c r="Z33" s="92"/>
      <c r="AA33" s="114">
        <f t="shared" si="21"/>
        <v>0</v>
      </c>
      <c r="AB33" s="92"/>
      <c r="AC33" s="92"/>
      <c r="AD33" s="114">
        <f t="shared" si="22"/>
        <v>0</v>
      </c>
      <c r="AE33" s="92"/>
      <c r="AF33" s="92"/>
      <c r="AG33" s="114">
        <f t="shared" si="23"/>
        <v>0</v>
      </c>
      <c r="AH33" s="92"/>
      <c r="AI33" s="92"/>
      <c r="AJ33" s="114">
        <f t="shared" si="24"/>
        <v>0</v>
      </c>
      <c r="AK33" s="92"/>
      <c r="AL33" s="92"/>
      <c r="AM33" s="114">
        <f t="shared" si="25"/>
        <v>0</v>
      </c>
      <c r="AN33" s="92"/>
      <c r="AO33" s="92"/>
      <c r="AP33" s="114">
        <f t="shared" si="26"/>
        <v>0</v>
      </c>
      <c r="AQ33" s="92"/>
      <c r="AR33" s="92"/>
      <c r="AS33" s="114">
        <f t="shared" si="27"/>
        <v>0</v>
      </c>
      <c r="AT33" s="92"/>
      <c r="AU33" s="92"/>
      <c r="AV33" s="114">
        <f t="shared" si="28"/>
        <v>0</v>
      </c>
      <c r="AW33" s="92"/>
      <c r="AX33" s="92"/>
      <c r="AY33" s="114">
        <f t="shared" si="29"/>
        <v>0</v>
      </c>
      <c r="AZ33" s="92"/>
      <c r="BA33" s="92"/>
      <c r="BB33" s="114">
        <f t="shared" si="30"/>
        <v>0</v>
      </c>
      <c r="BC33" s="101"/>
      <c r="BD33" s="101"/>
      <c r="BE33" s="114">
        <f t="shared" si="31"/>
        <v>0</v>
      </c>
      <c r="BF33" s="101"/>
      <c r="BG33" s="101"/>
      <c r="BH33" s="114">
        <f t="shared" si="32"/>
        <v>0</v>
      </c>
      <c r="BI33" s="101"/>
      <c r="BJ33" s="101"/>
      <c r="BK33" s="114">
        <f t="shared" si="33"/>
        <v>0</v>
      </c>
      <c r="BL33" s="92"/>
      <c r="BM33" s="92"/>
      <c r="BN33" s="114">
        <f t="shared" si="0"/>
        <v>0</v>
      </c>
      <c r="BO33" s="92"/>
      <c r="BP33" s="92"/>
      <c r="BQ33" s="114">
        <f t="shared" si="1"/>
        <v>0</v>
      </c>
      <c r="BR33" s="92"/>
      <c r="BS33" s="92"/>
      <c r="BT33" s="114">
        <f t="shared" si="2"/>
        <v>0</v>
      </c>
      <c r="BU33" s="92"/>
      <c r="BV33" s="92"/>
      <c r="BW33" s="114">
        <f t="shared" si="3"/>
        <v>0</v>
      </c>
      <c r="BX33" s="92"/>
      <c r="BY33" s="92"/>
      <c r="BZ33" s="114">
        <f t="shared" si="4"/>
        <v>0</v>
      </c>
      <c r="CA33" s="92"/>
      <c r="CB33" s="92"/>
      <c r="CC33" s="114">
        <f t="shared" si="5"/>
        <v>0</v>
      </c>
      <c r="CD33" s="92"/>
      <c r="CE33" s="92"/>
      <c r="CF33" s="114">
        <f t="shared" si="6"/>
        <v>0</v>
      </c>
      <c r="CG33" s="92"/>
      <c r="CH33" s="92"/>
      <c r="CI33" s="114">
        <f t="shared" si="7"/>
        <v>0</v>
      </c>
      <c r="CJ33" s="92"/>
      <c r="CK33" s="92"/>
      <c r="CL33" s="114">
        <f t="shared" si="8"/>
        <v>0</v>
      </c>
      <c r="CM33" s="92"/>
      <c r="CN33" s="92"/>
      <c r="CO33" s="114">
        <f t="shared" si="34"/>
        <v>0</v>
      </c>
      <c r="CP33" s="92"/>
      <c r="CQ33" s="92"/>
      <c r="CR33" s="114">
        <f t="shared" si="9"/>
        <v>0</v>
      </c>
      <c r="CS33" s="92"/>
      <c r="CT33" s="92"/>
      <c r="CU33" s="114">
        <f t="shared" si="10"/>
        <v>0</v>
      </c>
      <c r="CV33" s="92"/>
      <c r="CW33" s="92"/>
      <c r="CX33" s="114">
        <f t="shared" si="11"/>
        <v>0</v>
      </c>
      <c r="CY33" s="92"/>
      <c r="CZ33" s="92"/>
      <c r="DA33" s="114">
        <f t="shared" si="12"/>
        <v>0</v>
      </c>
    </row>
    <row r="34" spans="1:105">
      <c r="A34" s="92"/>
      <c r="B34" s="92"/>
      <c r="C34" s="114">
        <f t="shared" si="13"/>
        <v>0</v>
      </c>
      <c r="D34" s="92"/>
      <c r="E34" s="92"/>
      <c r="F34" s="114">
        <f t="shared" si="14"/>
        <v>0</v>
      </c>
      <c r="G34" s="92"/>
      <c r="H34" s="92"/>
      <c r="I34" s="114">
        <f t="shared" si="15"/>
        <v>0</v>
      </c>
      <c r="J34" s="92"/>
      <c r="K34" s="92"/>
      <c r="L34" s="114">
        <f t="shared" si="16"/>
        <v>0</v>
      </c>
      <c r="M34" s="92"/>
      <c r="N34" s="92"/>
      <c r="O34" s="114">
        <f t="shared" si="17"/>
        <v>0</v>
      </c>
      <c r="P34" s="92"/>
      <c r="Q34" s="92"/>
      <c r="R34" s="114">
        <f t="shared" si="18"/>
        <v>0</v>
      </c>
      <c r="S34" s="92"/>
      <c r="T34" s="92"/>
      <c r="U34" s="114">
        <f t="shared" si="19"/>
        <v>0</v>
      </c>
      <c r="V34" s="92"/>
      <c r="W34" s="92"/>
      <c r="X34" s="114">
        <f t="shared" si="20"/>
        <v>0</v>
      </c>
      <c r="Y34" s="92"/>
      <c r="Z34" s="92"/>
      <c r="AA34" s="114">
        <f t="shared" si="21"/>
        <v>0</v>
      </c>
      <c r="AB34" s="92"/>
      <c r="AC34" s="92"/>
      <c r="AD34" s="114">
        <f t="shared" si="22"/>
        <v>0</v>
      </c>
      <c r="AE34" s="92"/>
      <c r="AF34" s="92"/>
      <c r="AG34" s="114">
        <f t="shared" si="23"/>
        <v>0</v>
      </c>
      <c r="AH34" s="92"/>
      <c r="AI34" s="92"/>
      <c r="AJ34" s="114">
        <f t="shared" si="24"/>
        <v>0</v>
      </c>
      <c r="AK34" s="92"/>
      <c r="AL34" s="92"/>
      <c r="AM34" s="114">
        <f t="shared" si="25"/>
        <v>0</v>
      </c>
      <c r="AN34" s="92"/>
      <c r="AO34" s="92"/>
      <c r="AP34" s="114">
        <f t="shared" si="26"/>
        <v>0</v>
      </c>
      <c r="AQ34" s="92"/>
      <c r="AR34" s="92"/>
      <c r="AS34" s="114">
        <f t="shared" si="27"/>
        <v>0</v>
      </c>
      <c r="AT34" s="92"/>
      <c r="AU34" s="92"/>
      <c r="AV34" s="114">
        <f t="shared" si="28"/>
        <v>0</v>
      </c>
      <c r="AW34" s="92"/>
      <c r="AX34" s="92"/>
      <c r="AY34" s="114">
        <f t="shared" si="29"/>
        <v>0</v>
      </c>
      <c r="AZ34" s="92"/>
      <c r="BA34" s="92"/>
      <c r="BB34" s="114">
        <f t="shared" si="30"/>
        <v>0</v>
      </c>
      <c r="BC34" s="101"/>
      <c r="BD34" s="101"/>
      <c r="BE34" s="114">
        <f t="shared" si="31"/>
        <v>0</v>
      </c>
      <c r="BF34" s="101"/>
      <c r="BG34" s="101"/>
      <c r="BH34" s="114">
        <f t="shared" si="32"/>
        <v>0</v>
      </c>
      <c r="BI34" s="101"/>
      <c r="BJ34" s="101"/>
      <c r="BK34" s="114">
        <f t="shared" si="33"/>
        <v>0</v>
      </c>
      <c r="BL34" s="92"/>
      <c r="BM34" s="92"/>
      <c r="BN34" s="114">
        <f t="shared" si="0"/>
        <v>0</v>
      </c>
      <c r="BO34" s="92"/>
      <c r="BP34" s="92"/>
      <c r="BQ34" s="114">
        <f t="shared" si="1"/>
        <v>0</v>
      </c>
      <c r="BR34" s="92"/>
      <c r="BS34" s="92"/>
      <c r="BT34" s="114">
        <f t="shared" si="2"/>
        <v>0</v>
      </c>
      <c r="BU34" s="92"/>
      <c r="BV34" s="92"/>
      <c r="BW34" s="114">
        <f t="shared" si="3"/>
        <v>0</v>
      </c>
      <c r="BX34" s="92"/>
      <c r="BY34" s="92"/>
      <c r="BZ34" s="114">
        <f t="shared" si="4"/>
        <v>0</v>
      </c>
      <c r="CA34" s="92"/>
      <c r="CB34" s="92"/>
      <c r="CC34" s="114">
        <f t="shared" si="5"/>
        <v>0</v>
      </c>
      <c r="CD34" s="92"/>
      <c r="CE34" s="92"/>
      <c r="CF34" s="114">
        <f t="shared" si="6"/>
        <v>0</v>
      </c>
      <c r="CG34" s="92"/>
      <c r="CH34" s="92"/>
      <c r="CI34" s="114">
        <f t="shared" si="7"/>
        <v>0</v>
      </c>
      <c r="CJ34" s="92"/>
      <c r="CK34" s="92"/>
      <c r="CL34" s="114">
        <f t="shared" si="8"/>
        <v>0</v>
      </c>
      <c r="CM34" s="92"/>
      <c r="CN34" s="92"/>
      <c r="CO34" s="114">
        <f t="shared" si="34"/>
        <v>0</v>
      </c>
      <c r="CP34" s="92"/>
      <c r="CQ34" s="92"/>
      <c r="CR34" s="114">
        <f t="shared" si="9"/>
        <v>0</v>
      </c>
      <c r="CS34" s="92"/>
      <c r="CT34" s="92"/>
      <c r="CU34" s="114">
        <f t="shared" si="10"/>
        <v>0</v>
      </c>
      <c r="CV34" s="92"/>
      <c r="CW34" s="92"/>
      <c r="CX34" s="114">
        <f t="shared" si="11"/>
        <v>0</v>
      </c>
      <c r="CY34" s="92"/>
      <c r="CZ34" s="92"/>
      <c r="DA34" s="114">
        <f t="shared" si="12"/>
        <v>0</v>
      </c>
    </row>
    <row r="35" spans="1:105">
      <c r="A35" s="92"/>
      <c r="B35" s="92"/>
      <c r="C35" s="114">
        <f t="shared" si="13"/>
        <v>0</v>
      </c>
      <c r="D35" s="92"/>
      <c r="E35" s="92"/>
      <c r="F35" s="114">
        <f t="shared" si="14"/>
        <v>0</v>
      </c>
      <c r="G35" s="92"/>
      <c r="H35" s="92"/>
      <c r="I35" s="114">
        <f t="shared" si="15"/>
        <v>0</v>
      </c>
      <c r="J35" s="92"/>
      <c r="K35" s="92"/>
      <c r="L35" s="114">
        <f t="shared" si="16"/>
        <v>0</v>
      </c>
      <c r="M35" s="92"/>
      <c r="N35" s="92"/>
      <c r="O35" s="114">
        <f t="shared" si="17"/>
        <v>0</v>
      </c>
      <c r="P35" s="92"/>
      <c r="Q35" s="92"/>
      <c r="R35" s="114">
        <f t="shared" si="18"/>
        <v>0</v>
      </c>
      <c r="S35" s="92"/>
      <c r="T35" s="92"/>
      <c r="U35" s="114">
        <f t="shared" si="19"/>
        <v>0</v>
      </c>
      <c r="V35" s="92"/>
      <c r="W35" s="92"/>
      <c r="X35" s="114">
        <f t="shared" si="20"/>
        <v>0</v>
      </c>
      <c r="Y35" s="92"/>
      <c r="Z35" s="92"/>
      <c r="AA35" s="114">
        <f t="shared" si="21"/>
        <v>0</v>
      </c>
      <c r="AB35" s="92"/>
      <c r="AC35" s="92"/>
      <c r="AD35" s="114">
        <f t="shared" si="22"/>
        <v>0</v>
      </c>
      <c r="AE35" s="92"/>
      <c r="AF35" s="92"/>
      <c r="AG35" s="114">
        <f t="shared" si="23"/>
        <v>0</v>
      </c>
      <c r="AH35" s="92"/>
      <c r="AI35" s="92"/>
      <c r="AJ35" s="114">
        <f t="shared" si="24"/>
        <v>0</v>
      </c>
      <c r="AK35" s="92"/>
      <c r="AL35" s="92"/>
      <c r="AM35" s="114">
        <f t="shared" si="25"/>
        <v>0</v>
      </c>
      <c r="AN35" s="92"/>
      <c r="AO35" s="92"/>
      <c r="AP35" s="114">
        <f t="shared" si="26"/>
        <v>0</v>
      </c>
      <c r="AQ35" s="92"/>
      <c r="AR35" s="92"/>
      <c r="AS35" s="114">
        <f t="shared" si="27"/>
        <v>0</v>
      </c>
      <c r="AT35" s="92"/>
      <c r="AU35" s="92"/>
      <c r="AV35" s="114">
        <f t="shared" si="28"/>
        <v>0</v>
      </c>
      <c r="AW35" s="92"/>
      <c r="AX35" s="92"/>
      <c r="AY35" s="114">
        <f t="shared" si="29"/>
        <v>0</v>
      </c>
      <c r="AZ35" s="92"/>
      <c r="BA35" s="92"/>
      <c r="BB35" s="114">
        <f t="shared" si="30"/>
        <v>0</v>
      </c>
      <c r="BC35" s="101"/>
      <c r="BD35" s="101"/>
      <c r="BE35" s="114">
        <f t="shared" si="31"/>
        <v>0</v>
      </c>
      <c r="BF35" s="101"/>
      <c r="BG35" s="101"/>
      <c r="BH35" s="114">
        <f t="shared" si="32"/>
        <v>0</v>
      </c>
      <c r="BI35" s="101"/>
      <c r="BJ35" s="101"/>
      <c r="BK35" s="114">
        <f t="shared" si="33"/>
        <v>0</v>
      </c>
      <c r="BL35" s="92"/>
      <c r="BM35" s="92"/>
      <c r="BN35" s="114">
        <f t="shared" si="0"/>
        <v>0</v>
      </c>
      <c r="BO35" s="92"/>
      <c r="BP35" s="92"/>
      <c r="BQ35" s="114">
        <f t="shared" si="1"/>
        <v>0</v>
      </c>
      <c r="BR35" s="92"/>
      <c r="BS35" s="92"/>
      <c r="BT35" s="114">
        <f t="shared" si="2"/>
        <v>0</v>
      </c>
      <c r="BU35" s="92"/>
      <c r="BV35" s="92"/>
      <c r="BW35" s="114">
        <f t="shared" si="3"/>
        <v>0</v>
      </c>
      <c r="BX35" s="92"/>
      <c r="BY35" s="92"/>
      <c r="BZ35" s="114">
        <f t="shared" si="4"/>
        <v>0</v>
      </c>
      <c r="CA35" s="92"/>
      <c r="CB35" s="92"/>
      <c r="CC35" s="114">
        <f t="shared" si="5"/>
        <v>0</v>
      </c>
      <c r="CD35" s="92"/>
      <c r="CE35" s="92"/>
      <c r="CF35" s="114">
        <f t="shared" si="6"/>
        <v>0</v>
      </c>
      <c r="CG35" s="92"/>
      <c r="CH35" s="92"/>
      <c r="CI35" s="114">
        <f t="shared" si="7"/>
        <v>0</v>
      </c>
      <c r="CJ35" s="92"/>
      <c r="CK35" s="92"/>
      <c r="CL35" s="114">
        <f t="shared" si="8"/>
        <v>0</v>
      </c>
      <c r="CM35" s="92"/>
      <c r="CN35" s="92"/>
      <c r="CO35" s="114">
        <f t="shared" si="34"/>
        <v>0</v>
      </c>
      <c r="CP35" s="92"/>
      <c r="CQ35" s="92"/>
      <c r="CR35" s="114">
        <f t="shared" si="9"/>
        <v>0</v>
      </c>
      <c r="CS35" s="92"/>
      <c r="CT35" s="92"/>
      <c r="CU35" s="114">
        <f t="shared" si="10"/>
        <v>0</v>
      </c>
      <c r="CV35" s="92"/>
      <c r="CW35" s="92"/>
      <c r="CX35" s="114">
        <f t="shared" si="11"/>
        <v>0</v>
      </c>
      <c r="CY35" s="92"/>
      <c r="CZ35" s="92"/>
      <c r="DA35" s="114">
        <f t="shared" si="12"/>
        <v>0</v>
      </c>
    </row>
    <row r="36" spans="1:105">
      <c r="A36" s="92"/>
      <c r="B36" s="92"/>
      <c r="C36" s="114">
        <f t="shared" si="13"/>
        <v>0</v>
      </c>
      <c r="D36" s="92"/>
      <c r="E36" s="92"/>
      <c r="F36" s="114">
        <f t="shared" si="14"/>
        <v>0</v>
      </c>
      <c r="G36" s="92"/>
      <c r="H36" s="92"/>
      <c r="I36" s="114">
        <f t="shared" si="15"/>
        <v>0</v>
      </c>
      <c r="J36" s="92"/>
      <c r="K36" s="92"/>
      <c r="L36" s="114">
        <f t="shared" si="16"/>
        <v>0</v>
      </c>
      <c r="M36" s="92"/>
      <c r="N36" s="92"/>
      <c r="O36" s="114">
        <f t="shared" si="17"/>
        <v>0</v>
      </c>
      <c r="P36" s="92"/>
      <c r="Q36" s="92"/>
      <c r="R36" s="114">
        <f t="shared" si="18"/>
        <v>0</v>
      </c>
      <c r="S36" s="92"/>
      <c r="T36" s="92"/>
      <c r="U36" s="114">
        <f t="shared" si="19"/>
        <v>0</v>
      </c>
      <c r="V36" s="92"/>
      <c r="W36" s="92"/>
      <c r="X36" s="114">
        <f t="shared" si="20"/>
        <v>0</v>
      </c>
      <c r="Y36" s="92"/>
      <c r="Z36" s="92"/>
      <c r="AA36" s="114">
        <f t="shared" si="21"/>
        <v>0</v>
      </c>
      <c r="AB36" s="92"/>
      <c r="AC36" s="92"/>
      <c r="AD36" s="114">
        <f t="shared" si="22"/>
        <v>0</v>
      </c>
      <c r="AE36" s="92"/>
      <c r="AF36" s="92"/>
      <c r="AG36" s="114">
        <f t="shared" si="23"/>
        <v>0</v>
      </c>
      <c r="AH36" s="92"/>
      <c r="AI36" s="92"/>
      <c r="AJ36" s="114">
        <f t="shared" si="24"/>
        <v>0</v>
      </c>
      <c r="AK36" s="92"/>
      <c r="AL36" s="92"/>
      <c r="AM36" s="114">
        <f t="shared" si="25"/>
        <v>0</v>
      </c>
      <c r="AN36" s="92"/>
      <c r="AO36" s="92"/>
      <c r="AP36" s="114">
        <f t="shared" si="26"/>
        <v>0</v>
      </c>
      <c r="AQ36" s="92"/>
      <c r="AR36" s="92"/>
      <c r="AS36" s="114">
        <f t="shared" si="27"/>
        <v>0</v>
      </c>
      <c r="AT36" s="92"/>
      <c r="AU36" s="92"/>
      <c r="AV36" s="114">
        <f t="shared" si="28"/>
        <v>0</v>
      </c>
      <c r="AW36" s="92"/>
      <c r="AX36" s="92"/>
      <c r="AY36" s="114">
        <f t="shared" si="29"/>
        <v>0</v>
      </c>
      <c r="AZ36" s="92"/>
      <c r="BA36" s="92"/>
      <c r="BB36" s="114">
        <f t="shared" si="30"/>
        <v>0</v>
      </c>
      <c r="BC36" s="101"/>
      <c r="BD36" s="101"/>
      <c r="BE36" s="114">
        <f t="shared" si="31"/>
        <v>0</v>
      </c>
      <c r="BF36" s="101"/>
      <c r="BG36" s="101"/>
      <c r="BH36" s="114">
        <f t="shared" si="32"/>
        <v>0</v>
      </c>
      <c r="BI36" s="101"/>
      <c r="BJ36" s="101"/>
      <c r="BK36" s="114">
        <f t="shared" si="33"/>
        <v>0</v>
      </c>
      <c r="BL36" s="92"/>
      <c r="BM36" s="92"/>
      <c r="BN36" s="114">
        <f t="shared" si="0"/>
        <v>0</v>
      </c>
      <c r="BO36" s="92"/>
      <c r="BP36" s="92"/>
      <c r="BQ36" s="114">
        <f t="shared" si="1"/>
        <v>0</v>
      </c>
      <c r="BR36" s="92"/>
      <c r="BS36" s="92"/>
      <c r="BT36" s="114">
        <f t="shared" si="2"/>
        <v>0</v>
      </c>
      <c r="BU36" s="92"/>
      <c r="BV36" s="92"/>
      <c r="BW36" s="114">
        <f t="shared" si="3"/>
        <v>0</v>
      </c>
      <c r="BX36" s="92"/>
      <c r="BY36" s="92"/>
      <c r="BZ36" s="114">
        <f t="shared" si="4"/>
        <v>0</v>
      </c>
      <c r="CA36" s="92"/>
      <c r="CB36" s="92"/>
      <c r="CC36" s="114">
        <f t="shared" si="5"/>
        <v>0</v>
      </c>
      <c r="CD36" s="92"/>
      <c r="CE36" s="92"/>
      <c r="CF36" s="114">
        <f t="shared" si="6"/>
        <v>0</v>
      </c>
      <c r="CG36" s="92"/>
      <c r="CH36" s="92"/>
      <c r="CI36" s="114">
        <f t="shared" si="7"/>
        <v>0</v>
      </c>
      <c r="CJ36" s="92"/>
      <c r="CK36" s="92"/>
      <c r="CL36" s="114">
        <f t="shared" si="8"/>
        <v>0</v>
      </c>
      <c r="CM36" s="92"/>
      <c r="CN36" s="92"/>
      <c r="CO36" s="114">
        <f t="shared" si="34"/>
        <v>0</v>
      </c>
      <c r="CP36" s="92"/>
      <c r="CQ36" s="92"/>
      <c r="CR36" s="114">
        <f t="shared" si="9"/>
        <v>0</v>
      </c>
      <c r="CS36" s="92"/>
      <c r="CT36" s="92"/>
      <c r="CU36" s="114">
        <f t="shared" si="10"/>
        <v>0</v>
      </c>
      <c r="CV36" s="92"/>
      <c r="CW36" s="92"/>
      <c r="CX36" s="114">
        <f t="shared" si="11"/>
        <v>0</v>
      </c>
      <c r="CY36" s="92"/>
      <c r="CZ36" s="92"/>
      <c r="DA36" s="114">
        <f t="shared" si="12"/>
        <v>0</v>
      </c>
    </row>
    <row r="37" spans="1:105">
      <c r="A37" s="92"/>
      <c r="B37" s="92"/>
      <c r="C37" s="114">
        <f t="shared" si="13"/>
        <v>0</v>
      </c>
      <c r="D37" s="92"/>
      <c r="E37" s="92"/>
      <c r="F37" s="114">
        <f t="shared" si="14"/>
        <v>0</v>
      </c>
      <c r="G37" s="92"/>
      <c r="H37" s="92"/>
      <c r="I37" s="114">
        <f t="shared" si="15"/>
        <v>0</v>
      </c>
      <c r="J37" s="92"/>
      <c r="K37" s="92"/>
      <c r="L37" s="114">
        <f t="shared" si="16"/>
        <v>0</v>
      </c>
      <c r="M37" s="92"/>
      <c r="N37" s="92"/>
      <c r="O37" s="114">
        <f t="shared" si="17"/>
        <v>0</v>
      </c>
      <c r="P37" s="92"/>
      <c r="Q37" s="92"/>
      <c r="R37" s="114">
        <f t="shared" si="18"/>
        <v>0</v>
      </c>
      <c r="S37" s="92"/>
      <c r="T37" s="92"/>
      <c r="U37" s="114">
        <f t="shared" si="19"/>
        <v>0</v>
      </c>
      <c r="V37" s="92"/>
      <c r="W37" s="92"/>
      <c r="X37" s="114">
        <f t="shared" si="20"/>
        <v>0</v>
      </c>
      <c r="Y37" s="92"/>
      <c r="Z37" s="92"/>
      <c r="AA37" s="114">
        <f t="shared" si="21"/>
        <v>0</v>
      </c>
      <c r="AB37" s="92"/>
      <c r="AC37" s="92"/>
      <c r="AD37" s="114">
        <f t="shared" si="22"/>
        <v>0</v>
      </c>
      <c r="AE37" s="92"/>
      <c r="AF37" s="92"/>
      <c r="AG37" s="114">
        <f t="shared" si="23"/>
        <v>0</v>
      </c>
      <c r="AH37" s="92"/>
      <c r="AI37" s="92"/>
      <c r="AJ37" s="114">
        <f t="shared" si="24"/>
        <v>0</v>
      </c>
      <c r="AK37" s="92"/>
      <c r="AL37" s="92"/>
      <c r="AM37" s="114">
        <f t="shared" si="25"/>
        <v>0</v>
      </c>
      <c r="AN37" s="92"/>
      <c r="AO37" s="92"/>
      <c r="AP37" s="114">
        <f t="shared" si="26"/>
        <v>0</v>
      </c>
      <c r="AQ37" s="92"/>
      <c r="AR37" s="92"/>
      <c r="AS37" s="114">
        <f t="shared" si="27"/>
        <v>0</v>
      </c>
      <c r="AT37" s="92"/>
      <c r="AU37" s="92"/>
      <c r="AV37" s="114">
        <f t="shared" si="28"/>
        <v>0</v>
      </c>
      <c r="AW37" s="92"/>
      <c r="AX37" s="92"/>
      <c r="AY37" s="114">
        <f t="shared" si="29"/>
        <v>0</v>
      </c>
      <c r="AZ37" s="92"/>
      <c r="BA37" s="92"/>
      <c r="BB37" s="114">
        <f t="shared" si="30"/>
        <v>0</v>
      </c>
      <c r="BC37" s="101"/>
      <c r="BD37" s="101"/>
      <c r="BE37" s="114">
        <f t="shared" si="31"/>
        <v>0</v>
      </c>
      <c r="BF37" s="101"/>
      <c r="BG37" s="101"/>
      <c r="BH37" s="114">
        <f t="shared" si="32"/>
        <v>0</v>
      </c>
      <c r="BI37" s="101"/>
      <c r="BJ37" s="101"/>
      <c r="BK37" s="114">
        <f t="shared" si="33"/>
        <v>0</v>
      </c>
      <c r="BL37" s="92"/>
      <c r="BM37" s="92"/>
      <c r="BN37" s="114">
        <f t="shared" si="0"/>
        <v>0</v>
      </c>
      <c r="BO37" s="92"/>
      <c r="BP37" s="92"/>
      <c r="BQ37" s="114">
        <f t="shared" si="1"/>
        <v>0</v>
      </c>
      <c r="BR37" s="92"/>
      <c r="BS37" s="92"/>
      <c r="BT37" s="114">
        <f t="shared" si="2"/>
        <v>0</v>
      </c>
      <c r="BU37" s="92"/>
      <c r="BV37" s="92"/>
      <c r="BW37" s="114">
        <f t="shared" si="3"/>
        <v>0</v>
      </c>
      <c r="BX37" s="92"/>
      <c r="BY37" s="92"/>
      <c r="BZ37" s="114">
        <f t="shared" si="4"/>
        <v>0</v>
      </c>
      <c r="CA37" s="92"/>
      <c r="CB37" s="92"/>
      <c r="CC37" s="114">
        <f t="shared" si="5"/>
        <v>0</v>
      </c>
      <c r="CD37" s="92"/>
      <c r="CE37" s="92"/>
      <c r="CF37" s="114">
        <f t="shared" si="6"/>
        <v>0</v>
      </c>
      <c r="CG37" s="92"/>
      <c r="CH37" s="92"/>
      <c r="CI37" s="114">
        <f t="shared" si="7"/>
        <v>0</v>
      </c>
      <c r="CJ37" s="92"/>
      <c r="CK37" s="92"/>
      <c r="CL37" s="114">
        <f t="shared" si="8"/>
        <v>0</v>
      </c>
      <c r="CM37" s="92"/>
      <c r="CN37" s="92"/>
      <c r="CO37" s="114">
        <f t="shared" si="34"/>
        <v>0</v>
      </c>
      <c r="CP37" s="92"/>
      <c r="CQ37" s="92"/>
      <c r="CR37" s="114">
        <f t="shared" si="9"/>
        <v>0</v>
      </c>
      <c r="CS37" s="92"/>
      <c r="CT37" s="92"/>
      <c r="CU37" s="114">
        <f t="shared" si="10"/>
        <v>0</v>
      </c>
      <c r="CV37" s="92"/>
      <c r="CW37" s="92"/>
      <c r="CX37" s="114">
        <f t="shared" si="11"/>
        <v>0</v>
      </c>
      <c r="CY37" s="92"/>
      <c r="CZ37" s="92"/>
      <c r="DA37" s="114">
        <f t="shared" si="12"/>
        <v>0</v>
      </c>
    </row>
    <row r="38" spans="1:105">
      <c r="A38" s="92"/>
      <c r="B38" s="92"/>
      <c r="C38" s="114">
        <f t="shared" si="13"/>
        <v>0</v>
      </c>
      <c r="D38" s="92"/>
      <c r="E38" s="92"/>
      <c r="F38" s="114">
        <f t="shared" si="14"/>
        <v>0</v>
      </c>
      <c r="G38" s="92"/>
      <c r="H38" s="92"/>
      <c r="I38" s="114">
        <f t="shared" si="15"/>
        <v>0</v>
      </c>
      <c r="J38" s="92"/>
      <c r="K38" s="92"/>
      <c r="L38" s="114">
        <f t="shared" si="16"/>
        <v>0</v>
      </c>
      <c r="M38" s="92"/>
      <c r="N38" s="92"/>
      <c r="O38" s="114">
        <f t="shared" si="17"/>
        <v>0</v>
      </c>
      <c r="P38" s="92"/>
      <c r="Q38" s="92"/>
      <c r="R38" s="114">
        <f t="shared" si="18"/>
        <v>0</v>
      </c>
      <c r="S38" s="92"/>
      <c r="T38" s="92"/>
      <c r="U38" s="114">
        <f t="shared" si="19"/>
        <v>0</v>
      </c>
      <c r="V38" s="92"/>
      <c r="W38" s="92"/>
      <c r="X38" s="114">
        <f t="shared" si="20"/>
        <v>0</v>
      </c>
      <c r="Y38" s="92"/>
      <c r="Z38" s="92"/>
      <c r="AA38" s="114">
        <f t="shared" si="21"/>
        <v>0</v>
      </c>
      <c r="AB38" s="92"/>
      <c r="AC38" s="92"/>
      <c r="AD38" s="114">
        <f t="shared" si="22"/>
        <v>0</v>
      </c>
      <c r="AE38" s="92"/>
      <c r="AF38" s="92"/>
      <c r="AG38" s="114">
        <f t="shared" si="23"/>
        <v>0</v>
      </c>
      <c r="AH38" s="92"/>
      <c r="AI38" s="92"/>
      <c r="AJ38" s="114">
        <f t="shared" si="24"/>
        <v>0</v>
      </c>
      <c r="AK38" s="92"/>
      <c r="AL38" s="92"/>
      <c r="AM38" s="114">
        <f t="shared" si="25"/>
        <v>0</v>
      </c>
      <c r="AN38" s="92"/>
      <c r="AO38" s="92"/>
      <c r="AP38" s="114">
        <f t="shared" si="26"/>
        <v>0</v>
      </c>
      <c r="AQ38" s="92"/>
      <c r="AR38" s="92"/>
      <c r="AS38" s="114">
        <f t="shared" si="27"/>
        <v>0</v>
      </c>
      <c r="AT38" s="92"/>
      <c r="AU38" s="92"/>
      <c r="AV38" s="114">
        <f t="shared" si="28"/>
        <v>0</v>
      </c>
      <c r="AW38" s="92"/>
      <c r="AX38" s="92"/>
      <c r="AY38" s="114">
        <f t="shared" si="29"/>
        <v>0</v>
      </c>
      <c r="AZ38" s="92"/>
      <c r="BA38" s="92"/>
      <c r="BB38" s="114">
        <f t="shared" si="30"/>
        <v>0</v>
      </c>
      <c r="BC38" s="101"/>
      <c r="BD38" s="101"/>
      <c r="BE38" s="114">
        <f t="shared" si="31"/>
        <v>0</v>
      </c>
      <c r="BF38" s="101"/>
      <c r="BG38" s="101"/>
      <c r="BH38" s="114">
        <f t="shared" si="32"/>
        <v>0</v>
      </c>
      <c r="BI38" s="101"/>
      <c r="BJ38" s="101"/>
      <c r="BK38" s="114">
        <f t="shared" si="33"/>
        <v>0</v>
      </c>
      <c r="BL38" s="92"/>
      <c r="BM38" s="92"/>
      <c r="BN38" s="114">
        <f t="shared" si="0"/>
        <v>0</v>
      </c>
      <c r="BO38" s="92"/>
      <c r="BP38" s="92"/>
      <c r="BQ38" s="114">
        <f t="shared" si="1"/>
        <v>0</v>
      </c>
      <c r="BR38" s="92"/>
      <c r="BS38" s="92"/>
      <c r="BT38" s="114">
        <f t="shared" si="2"/>
        <v>0</v>
      </c>
      <c r="BU38" s="92"/>
      <c r="BV38" s="92"/>
      <c r="BW38" s="114">
        <f t="shared" si="3"/>
        <v>0</v>
      </c>
      <c r="BX38" s="92"/>
      <c r="BY38" s="92"/>
      <c r="BZ38" s="114">
        <f t="shared" si="4"/>
        <v>0</v>
      </c>
      <c r="CA38" s="92"/>
      <c r="CB38" s="92"/>
      <c r="CC38" s="114">
        <f t="shared" si="5"/>
        <v>0</v>
      </c>
      <c r="CD38" s="92"/>
      <c r="CE38" s="92"/>
      <c r="CF38" s="114">
        <f t="shared" si="6"/>
        <v>0</v>
      </c>
      <c r="CG38" s="92"/>
      <c r="CH38" s="92"/>
      <c r="CI38" s="114">
        <f t="shared" si="7"/>
        <v>0</v>
      </c>
      <c r="CJ38" s="92"/>
      <c r="CK38" s="92"/>
      <c r="CL38" s="114">
        <f t="shared" si="8"/>
        <v>0</v>
      </c>
      <c r="CM38" s="92"/>
      <c r="CN38" s="92"/>
      <c r="CO38" s="114">
        <f t="shared" si="34"/>
        <v>0</v>
      </c>
      <c r="CP38" s="92"/>
      <c r="CQ38" s="92"/>
      <c r="CR38" s="114">
        <f t="shared" si="9"/>
        <v>0</v>
      </c>
      <c r="CS38" s="92"/>
      <c r="CT38" s="92"/>
      <c r="CU38" s="114">
        <f t="shared" si="10"/>
        <v>0</v>
      </c>
      <c r="CV38" s="92"/>
      <c r="CW38" s="92"/>
      <c r="CX38" s="114">
        <f t="shared" si="11"/>
        <v>0</v>
      </c>
      <c r="CY38" s="92"/>
      <c r="CZ38" s="92"/>
      <c r="DA38" s="114">
        <f t="shared" si="12"/>
        <v>0</v>
      </c>
    </row>
    <row r="39" spans="1:105">
      <c r="A39" s="92"/>
      <c r="B39" s="92"/>
      <c r="C39" s="114">
        <f t="shared" si="13"/>
        <v>0</v>
      </c>
      <c r="D39" s="92"/>
      <c r="E39" s="92"/>
      <c r="F39" s="114">
        <f t="shared" si="14"/>
        <v>0</v>
      </c>
      <c r="G39" s="92"/>
      <c r="H39" s="92"/>
      <c r="I39" s="114">
        <f t="shared" si="15"/>
        <v>0</v>
      </c>
      <c r="J39" s="92"/>
      <c r="K39" s="92"/>
      <c r="L39" s="114">
        <f t="shared" si="16"/>
        <v>0</v>
      </c>
      <c r="M39" s="92"/>
      <c r="N39" s="92"/>
      <c r="O39" s="114">
        <f t="shared" si="17"/>
        <v>0</v>
      </c>
      <c r="P39" s="92"/>
      <c r="Q39" s="92"/>
      <c r="R39" s="114">
        <f t="shared" si="18"/>
        <v>0</v>
      </c>
      <c r="S39" s="92"/>
      <c r="T39" s="92"/>
      <c r="U39" s="114">
        <f t="shared" si="19"/>
        <v>0</v>
      </c>
      <c r="V39" s="92"/>
      <c r="W39" s="92"/>
      <c r="X39" s="114">
        <f t="shared" si="20"/>
        <v>0</v>
      </c>
      <c r="Y39" s="92"/>
      <c r="Z39" s="92"/>
      <c r="AA39" s="114">
        <f t="shared" si="21"/>
        <v>0</v>
      </c>
      <c r="AB39" s="92"/>
      <c r="AC39" s="92"/>
      <c r="AD39" s="114">
        <f t="shared" si="22"/>
        <v>0</v>
      </c>
      <c r="AE39" s="92"/>
      <c r="AF39" s="92"/>
      <c r="AG39" s="114">
        <f t="shared" si="23"/>
        <v>0</v>
      </c>
      <c r="AH39" s="92"/>
      <c r="AI39" s="92"/>
      <c r="AJ39" s="114">
        <f t="shared" si="24"/>
        <v>0</v>
      </c>
      <c r="AK39" s="92"/>
      <c r="AL39" s="92"/>
      <c r="AM39" s="114">
        <f t="shared" si="25"/>
        <v>0</v>
      </c>
      <c r="AN39" s="92"/>
      <c r="AO39" s="92"/>
      <c r="AP39" s="114">
        <f t="shared" si="26"/>
        <v>0</v>
      </c>
      <c r="AQ39" s="92"/>
      <c r="AR39" s="92"/>
      <c r="AS39" s="114">
        <f t="shared" si="27"/>
        <v>0</v>
      </c>
      <c r="AT39" s="92"/>
      <c r="AU39" s="92"/>
      <c r="AV39" s="114">
        <f t="shared" si="28"/>
        <v>0</v>
      </c>
      <c r="AW39" s="92"/>
      <c r="AX39" s="92"/>
      <c r="AY39" s="114">
        <f t="shared" si="29"/>
        <v>0</v>
      </c>
      <c r="AZ39" s="92"/>
      <c r="BA39" s="92"/>
      <c r="BB39" s="114">
        <f t="shared" si="30"/>
        <v>0</v>
      </c>
      <c r="BC39" s="101"/>
      <c r="BD39" s="101"/>
      <c r="BE39" s="114">
        <f t="shared" si="31"/>
        <v>0</v>
      </c>
      <c r="BF39" s="101"/>
      <c r="BG39" s="101"/>
      <c r="BH39" s="114">
        <f t="shared" si="32"/>
        <v>0</v>
      </c>
      <c r="BI39" s="101"/>
      <c r="BJ39" s="101"/>
      <c r="BK39" s="114">
        <f t="shared" si="33"/>
        <v>0</v>
      </c>
      <c r="BL39" s="92"/>
      <c r="BM39" s="92"/>
      <c r="BN39" s="114">
        <f t="shared" si="0"/>
        <v>0</v>
      </c>
      <c r="BO39" s="92"/>
      <c r="BP39" s="92"/>
      <c r="BQ39" s="114">
        <f t="shared" si="1"/>
        <v>0</v>
      </c>
      <c r="BR39" s="92"/>
      <c r="BS39" s="92"/>
      <c r="BT39" s="114">
        <f t="shared" si="2"/>
        <v>0</v>
      </c>
      <c r="BU39" s="92"/>
      <c r="BV39" s="92"/>
      <c r="BW39" s="114">
        <f t="shared" si="3"/>
        <v>0</v>
      </c>
      <c r="BX39" s="92"/>
      <c r="BY39" s="92"/>
      <c r="BZ39" s="114">
        <f t="shared" si="4"/>
        <v>0</v>
      </c>
      <c r="CA39" s="92"/>
      <c r="CB39" s="92"/>
      <c r="CC39" s="114">
        <f t="shared" si="5"/>
        <v>0</v>
      </c>
      <c r="CD39" s="92"/>
      <c r="CE39" s="92"/>
      <c r="CF39" s="114">
        <f t="shared" si="6"/>
        <v>0</v>
      </c>
      <c r="CG39" s="92"/>
      <c r="CH39" s="92"/>
      <c r="CI39" s="114">
        <f t="shared" si="7"/>
        <v>0</v>
      </c>
      <c r="CJ39" s="92"/>
      <c r="CK39" s="92"/>
      <c r="CL39" s="114">
        <f t="shared" si="8"/>
        <v>0</v>
      </c>
      <c r="CM39" s="92"/>
      <c r="CN39" s="92"/>
      <c r="CO39" s="114">
        <f t="shared" si="34"/>
        <v>0</v>
      </c>
      <c r="CP39" s="92"/>
      <c r="CQ39" s="92"/>
      <c r="CR39" s="114">
        <f t="shared" si="9"/>
        <v>0</v>
      </c>
      <c r="CS39" s="92"/>
      <c r="CT39" s="92"/>
      <c r="CU39" s="114">
        <f t="shared" si="10"/>
        <v>0</v>
      </c>
      <c r="CV39" s="92"/>
      <c r="CW39" s="92"/>
      <c r="CX39" s="114">
        <f t="shared" si="11"/>
        <v>0</v>
      </c>
      <c r="CY39" s="92"/>
      <c r="CZ39" s="92"/>
      <c r="DA39" s="114">
        <f t="shared" si="12"/>
        <v>0</v>
      </c>
    </row>
    <row r="40" spans="1:105">
      <c r="A40" s="92"/>
      <c r="B40" s="92"/>
      <c r="C40" s="114">
        <f t="shared" si="13"/>
        <v>0</v>
      </c>
      <c r="D40" s="92"/>
      <c r="E40" s="92"/>
      <c r="F40" s="114">
        <f t="shared" si="14"/>
        <v>0</v>
      </c>
      <c r="G40" s="92"/>
      <c r="H40" s="92"/>
      <c r="I40" s="114">
        <f t="shared" si="15"/>
        <v>0</v>
      </c>
      <c r="J40" s="92"/>
      <c r="K40" s="92"/>
      <c r="L40" s="114">
        <f t="shared" si="16"/>
        <v>0</v>
      </c>
      <c r="M40" s="92"/>
      <c r="N40" s="92"/>
      <c r="O40" s="114">
        <f t="shared" si="17"/>
        <v>0</v>
      </c>
      <c r="P40" s="92"/>
      <c r="Q40" s="92"/>
      <c r="R40" s="114">
        <f t="shared" si="18"/>
        <v>0</v>
      </c>
      <c r="S40" s="92"/>
      <c r="T40" s="92"/>
      <c r="U40" s="114">
        <f t="shared" si="19"/>
        <v>0</v>
      </c>
      <c r="V40" s="92"/>
      <c r="W40" s="92"/>
      <c r="X40" s="114">
        <f t="shared" si="20"/>
        <v>0</v>
      </c>
      <c r="Y40" s="92"/>
      <c r="Z40" s="92"/>
      <c r="AA40" s="114">
        <f t="shared" si="21"/>
        <v>0</v>
      </c>
      <c r="AB40" s="92"/>
      <c r="AC40" s="92"/>
      <c r="AD40" s="114">
        <f t="shared" si="22"/>
        <v>0</v>
      </c>
      <c r="AE40" s="92"/>
      <c r="AF40" s="92"/>
      <c r="AG40" s="114">
        <f t="shared" si="23"/>
        <v>0</v>
      </c>
      <c r="AH40" s="92"/>
      <c r="AI40" s="92"/>
      <c r="AJ40" s="114">
        <f t="shared" si="24"/>
        <v>0</v>
      </c>
      <c r="AK40" s="92"/>
      <c r="AL40" s="92"/>
      <c r="AM40" s="114">
        <f t="shared" si="25"/>
        <v>0</v>
      </c>
      <c r="AN40" s="92"/>
      <c r="AO40" s="92"/>
      <c r="AP40" s="114">
        <f t="shared" si="26"/>
        <v>0</v>
      </c>
      <c r="AQ40" s="92"/>
      <c r="AR40" s="92"/>
      <c r="AS40" s="114">
        <f t="shared" si="27"/>
        <v>0</v>
      </c>
      <c r="AT40" s="92"/>
      <c r="AU40" s="92"/>
      <c r="AV40" s="114">
        <f t="shared" si="28"/>
        <v>0</v>
      </c>
      <c r="AW40" s="92"/>
      <c r="AX40" s="92"/>
      <c r="AY40" s="114">
        <f t="shared" si="29"/>
        <v>0</v>
      </c>
      <c r="AZ40" s="92"/>
      <c r="BA40" s="92"/>
      <c r="BB40" s="114">
        <f t="shared" si="30"/>
        <v>0</v>
      </c>
      <c r="BC40" s="101"/>
      <c r="BD40" s="101"/>
      <c r="BE40" s="114">
        <f t="shared" si="31"/>
        <v>0</v>
      </c>
      <c r="BF40" s="101"/>
      <c r="BG40" s="101"/>
      <c r="BH40" s="114">
        <f t="shared" si="32"/>
        <v>0</v>
      </c>
      <c r="BI40" s="101"/>
      <c r="BJ40" s="101"/>
      <c r="BK40" s="114">
        <f t="shared" si="33"/>
        <v>0</v>
      </c>
      <c r="BL40" s="92"/>
      <c r="BM40" s="92"/>
      <c r="BN40" s="114">
        <f t="shared" si="0"/>
        <v>0</v>
      </c>
      <c r="BO40" s="92"/>
      <c r="BP40" s="92"/>
      <c r="BQ40" s="114">
        <f t="shared" si="1"/>
        <v>0</v>
      </c>
      <c r="BR40" s="92"/>
      <c r="BS40" s="92"/>
      <c r="BT40" s="114">
        <f t="shared" si="2"/>
        <v>0</v>
      </c>
      <c r="BU40" s="92"/>
      <c r="BV40" s="92"/>
      <c r="BW40" s="114">
        <f t="shared" si="3"/>
        <v>0</v>
      </c>
      <c r="BX40" s="92"/>
      <c r="BY40" s="92"/>
      <c r="BZ40" s="114">
        <f t="shared" si="4"/>
        <v>0</v>
      </c>
      <c r="CA40" s="92"/>
      <c r="CB40" s="92"/>
      <c r="CC40" s="114">
        <f t="shared" si="5"/>
        <v>0</v>
      </c>
      <c r="CD40" s="92"/>
      <c r="CE40" s="92"/>
      <c r="CF40" s="114">
        <f t="shared" si="6"/>
        <v>0</v>
      </c>
      <c r="CG40" s="92"/>
      <c r="CH40" s="92"/>
      <c r="CI40" s="114">
        <f t="shared" si="7"/>
        <v>0</v>
      </c>
      <c r="CJ40" s="92"/>
      <c r="CK40" s="92"/>
      <c r="CL40" s="114">
        <f t="shared" si="8"/>
        <v>0</v>
      </c>
      <c r="CM40" s="92"/>
      <c r="CN40" s="92"/>
      <c r="CO40" s="114">
        <f t="shared" si="34"/>
        <v>0</v>
      </c>
      <c r="CP40" s="92"/>
      <c r="CQ40" s="92"/>
      <c r="CR40" s="114">
        <f t="shared" si="9"/>
        <v>0</v>
      </c>
      <c r="CS40" s="92"/>
      <c r="CT40" s="92"/>
      <c r="CU40" s="114">
        <f t="shared" si="10"/>
        <v>0</v>
      </c>
      <c r="CV40" s="92"/>
      <c r="CW40" s="92"/>
      <c r="CX40" s="114">
        <f t="shared" si="11"/>
        <v>0</v>
      </c>
      <c r="CY40" s="92"/>
      <c r="CZ40" s="92"/>
      <c r="DA40" s="114">
        <f t="shared" si="12"/>
        <v>0</v>
      </c>
    </row>
    <row r="41" spans="1:105">
      <c r="A41" s="92"/>
      <c r="B41" s="92"/>
      <c r="C41" s="114">
        <f t="shared" si="13"/>
        <v>0</v>
      </c>
      <c r="D41" s="92"/>
      <c r="E41" s="92"/>
      <c r="F41" s="114">
        <f t="shared" si="14"/>
        <v>0</v>
      </c>
      <c r="G41" s="92"/>
      <c r="H41" s="92"/>
      <c r="I41" s="114">
        <f t="shared" si="15"/>
        <v>0</v>
      </c>
      <c r="J41" s="92"/>
      <c r="K41" s="92"/>
      <c r="L41" s="114">
        <f t="shared" si="16"/>
        <v>0</v>
      </c>
      <c r="M41" s="92"/>
      <c r="N41" s="92"/>
      <c r="O41" s="114">
        <f t="shared" si="17"/>
        <v>0</v>
      </c>
      <c r="P41" s="92"/>
      <c r="Q41" s="92"/>
      <c r="R41" s="114">
        <f t="shared" si="18"/>
        <v>0</v>
      </c>
      <c r="S41" s="92"/>
      <c r="T41" s="92"/>
      <c r="U41" s="114">
        <f t="shared" si="19"/>
        <v>0</v>
      </c>
      <c r="V41" s="92"/>
      <c r="W41" s="92"/>
      <c r="X41" s="114">
        <f t="shared" si="20"/>
        <v>0</v>
      </c>
      <c r="Y41" s="92"/>
      <c r="Z41" s="92"/>
      <c r="AA41" s="114">
        <f t="shared" si="21"/>
        <v>0</v>
      </c>
      <c r="AB41" s="92"/>
      <c r="AC41" s="92"/>
      <c r="AD41" s="114">
        <f t="shared" si="22"/>
        <v>0</v>
      </c>
      <c r="AE41" s="92"/>
      <c r="AF41" s="92"/>
      <c r="AG41" s="114">
        <f t="shared" si="23"/>
        <v>0</v>
      </c>
      <c r="AH41" s="92"/>
      <c r="AI41" s="92"/>
      <c r="AJ41" s="114">
        <f t="shared" si="24"/>
        <v>0</v>
      </c>
      <c r="AK41" s="92"/>
      <c r="AL41" s="92"/>
      <c r="AM41" s="114">
        <f t="shared" si="25"/>
        <v>0</v>
      </c>
      <c r="AN41" s="92"/>
      <c r="AO41" s="92"/>
      <c r="AP41" s="114">
        <f t="shared" si="26"/>
        <v>0</v>
      </c>
      <c r="AQ41" s="92"/>
      <c r="AR41" s="92"/>
      <c r="AS41" s="114">
        <f t="shared" si="27"/>
        <v>0</v>
      </c>
      <c r="AT41" s="92"/>
      <c r="AU41" s="92"/>
      <c r="AV41" s="114">
        <f t="shared" si="28"/>
        <v>0</v>
      </c>
      <c r="AW41" s="92"/>
      <c r="AX41" s="92"/>
      <c r="AY41" s="114">
        <f t="shared" si="29"/>
        <v>0</v>
      </c>
      <c r="AZ41" s="92"/>
      <c r="BA41" s="92"/>
      <c r="BB41" s="114">
        <f t="shared" si="30"/>
        <v>0</v>
      </c>
      <c r="BC41" s="101"/>
      <c r="BD41" s="101"/>
      <c r="BE41" s="114">
        <f t="shared" si="31"/>
        <v>0</v>
      </c>
      <c r="BF41" s="101"/>
      <c r="BG41" s="101"/>
      <c r="BH41" s="114">
        <f t="shared" si="32"/>
        <v>0</v>
      </c>
      <c r="BI41" s="101"/>
      <c r="BJ41" s="101"/>
      <c r="BK41" s="114">
        <f t="shared" si="33"/>
        <v>0</v>
      </c>
      <c r="BL41" s="92"/>
      <c r="BM41" s="92"/>
      <c r="BN41" s="114">
        <f t="shared" si="0"/>
        <v>0</v>
      </c>
      <c r="BO41" s="92"/>
      <c r="BP41" s="92"/>
      <c r="BQ41" s="114">
        <f t="shared" si="1"/>
        <v>0</v>
      </c>
      <c r="BR41" s="92"/>
      <c r="BS41" s="92"/>
      <c r="BT41" s="114">
        <f t="shared" si="2"/>
        <v>0</v>
      </c>
      <c r="BU41" s="92"/>
      <c r="BV41" s="92"/>
      <c r="BW41" s="114">
        <f t="shared" si="3"/>
        <v>0</v>
      </c>
      <c r="BX41" s="92"/>
      <c r="BY41" s="92"/>
      <c r="BZ41" s="114">
        <f t="shared" si="4"/>
        <v>0</v>
      </c>
      <c r="CA41" s="92"/>
      <c r="CB41" s="92"/>
      <c r="CC41" s="114">
        <f t="shared" si="5"/>
        <v>0</v>
      </c>
      <c r="CD41" s="92"/>
      <c r="CE41" s="92"/>
      <c r="CF41" s="114">
        <f t="shared" si="6"/>
        <v>0</v>
      </c>
      <c r="CG41" s="92"/>
      <c r="CH41" s="92"/>
      <c r="CI41" s="114">
        <f t="shared" si="7"/>
        <v>0</v>
      </c>
      <c r="CJ41" s="92"/>
      <c r="CK41" s="92"/>
      <c r="CL41" s="114">
        <f t="shared" si="8"/>
        <v>0</v>
      </c>
      <c r="CM41" s="92"/>
      <c r="CN41" s="92"/>
      <c r="CO41" s="114">
        <f t="shared" si="34"/>
        <v>0</v>
      </c>
      <c r="CP41" s="92"/>
      <c r="CQ41" s="92"/>
      <c r="CR41" s="114">
        <f t="shared" si="9"/>
        <v>0</v>
      </c>
      <c r="CS41" s="92"/>
      <c r="CT41" s="92"/>
      <c r="CU41" s="114">
        <f t="shared" si="10"/>
        <v>0</v>
      </c>
      <c r="CV41" s="92"/>
      <c r="CW41" s="92"/>
      <c r="CX41" s="114">
        <f t="shared" si="11"/>
        <v>0</v>
      </c>
      <c r="CY41" s="92"/>
      <c r="CZ41" s="92"/>
      <c r="DA41" s="114">
        <f t="shared" si="12"/>
        <v>0</v>
      </c>
    </row>
    <row r="42" spans="1:105">
      <c r="A42" s="92"/>
      <c r="B42" s="92"/>
      <c r="C42" s="114">
        <f t="shared" si="13"/>
        <v>0</v>
      </c>
      <c r="D42" s="92"/>
      <c r="E42" s="92"/>
      <c r="F42" s="114">
        <f t="shared" si="14"/>
        <v>0</v>
      </c>
      <c r="G42" s="92"/>
      <c r="H42" s="92"/>
      <c r="I42" s="114">
        <f t="shared" si="15"/>
        <v>0</v>
      </c>
      <c r="J42" s="92"/>
      <c r="K42" s="92"/>
      <c r="L42" s="114">
        <f t="shared" si="16"/>
        <v>0</v>
      </c>
      <c r="M42" s="92"/>
      <c r="N42" s="92"/>
      <c r="O42" s="114">
        <f t="shared" si="17"/>
        <v>0</v>
      </c>
      <c r="P42" s="92"/>
      <c r="Q42" s="92"/>
      <c r="R42" s="114">
        <f t="shared" si="18"/>
        <v>0</v>
      </c>
      <c r="S42" s="92"/>
      <c r="T42" s="92"/>
      <c r="U42" s="114">
        <f t="shared" si="19"/>
        <v>0</v>
      </c>
      <c r="V42" s="92"/>
      <c r="W42" s="92"/>
      <c r="X42" s="114">
        <f t="shared" si="20"/>
        <v>0</v>
      </c>
      <c r="Y42" s="92"/>
      <c r="Z42" s="92"/>
      <c r="AA42" s="114">
        <f t="shared" si="21"/>
        <v>0</v>
      </c>
      <c r="AB42" s="92"/>
      <c r="AC42" s="92"/>
      <c r="AD42" s="114">
        <f t="shared" si="22"/>
        <v>0</v>
      </c>
      <c r="AE42" s="92"/>
      <c r="AF42" s="92"/>
      <c r="AG42" s="114">
        <f t="shared" si="23"/>
        <v>0</v>
      </c>
      <c r="AH42" s="92"/>
      <c r="AI42" s="92"/>
      <c r="AJ42" s="114">
        <f t="shared" si="24"/>
        <v>0</v>
      </c>
      <c r="AK42" s="92"/>
      <c r="AL42" s="92"/>
      <c r="AM42" s="114">
        <f t="shared" si="25"/>
        <v>0</v>
      </c>
      <c r="AN42" s="92"/>
      <c r="AO42" s="92"/>
      <c r="AP42" s="114">
        <f t="shared" si="26"/>
        <v>0</v>
      </c>
      <c r="AQ42" s="92"/>
      <c r="AR42" s="92"/>
      <c r="AS42" s="114">
        <f t="shared" si="27"/>
        <v>0</v>
      </c>
      <c r="AT42" s="92"/>
      <c r="AU42" s="92"/>
      <c r="AV42" s="114">
        <f t="shared" si="28"/>
        <v>0</v>
      </c>
      <c r="AW42" s="92"/>
      <c r="AX42" s="92"/>
      <c r="AY42" s="114">
        <f t="shared" si="29"/>
        <v>0</v>
      </c>
      <c r="AZ42" s="92"/>
      <c r="BA42" s="92"/>
      <c r="BB42" s="114">
        <f t="shared" si="30"/>
        <v>0</v>
      </c>
      <c r="BC42" s="101"/>
      <c r="BD42" s="101"/>
      <c r="BE42" s="114">
        <f t="shared" si="31"/>
        <v>0</v>
      </c>
      <c r="BF42" s="101"/>
      <c r="BG42" s="101"/>
      <c r="BH42" s="114">
        <f t="shared" si="32"/>
        <v>0</v>
      </c>
      <c r="BI42" s="101"/>
      <c r="BJ42" s="101"/>
      <c r="BK42" s="114">
        <f t="shared" si="33"/>
        <v>0</v>
      </c>
      <c r="BL42" s="92"/>
      <c r="BM42" s="92"/>
      <c r="BN42" s="114">
        <f t="shared" si="0"/>
        <v>0</v>
      </c>
      <c r="BO42" s="92"/>
      <c r="BP42" s="92"/>
      <c r="BQ42" s="114">
        <f t="shared" si="1"/>
        <v>0</v>
      </c>
      <c r="BR42" s="92"/>
      <c r="BS42" s="92"/>
      <c r="BT42" s="114">
        <f t="shared" si="2"/>
        <v>0</v>
      </c>
      <c r="BU42" s="92"/>
      <c r="BV42" s="92"/>
      <c r="BW42" s="114">
        <f t="shared" si="3"/>
        <v>0</v>
      </c>
      <c r="BX42" s="92"/>
      <c r="BY42" s="92"/>
      <c r="BZ42" s="114">
        <f t="shared" si="4"/>
        <v>0</v>
      </c>
      <c r="CA42" s="92"/>
      <c r="CB42" s="92"/>
      <c r="CC42" s="114">
        <f t="shared" si="5"/>
        <v>0</v>
      </c>
      <c r="CD42" s="92"/>
      <c r="CE42" s="92"/>
      <c r="CF42" s="114">
        <f t="shared" si="6"/>
        <v>0</v>
      </c>
      <c r="CG42" s="92"/>
      <c r="CH42" s="92"/>
      <c r="CI42" s="114">
        <f t="shared" si="7"/>
        <v>0</v>
      </c>
      <c r="CJ42" s="92"/>
      <c r="CK42" s="92"/>
      <c r="CL42" s="114">
        <f t="shared" si="8"/>
        <v>0</v>
      </c>
      <c r="CM42" s="92"/>
      <c r="CN42" s="92"/>
      <c r="CO42" s="114">
        <f t="shared" si="34"/>
        <v>0</v>
      </c>
      <c r="CP42" s="92"/>
      <c r="CQ42" s="92"/>
      <c r="CR42" s="114">
        <f t="shared" si="9"/>
        <v>0</v>
      </c>
      <c r="CS42" s="92"/>
      <c r="CT42" s="92"/>
      <c r="CU42" s="114">
        <f t="shared" si="10"/>
        <v>0</v>
      </c>
      <c r="CV42" s="92"/>
      <c r="CW42" s="92"/>
      <c r="CX42" s="114">
        <f t="shared" si="11"/>
        <v>0</v>
      </c>
      <c r="CY42" s="92"/>
      <c r="CZ42" s="92"/>
      <c r="DA42" s="114">
        <f t="shared" si="12"/>
        <v>0</v>
      </c>
    </row>
    <row r="43" spans="1:105">
      <c r="A43" s="92"/>
      <c r="B43" s="92"/>
      <c r="C43" s="114">
        <f t="shared" si="13"/>
        <v>0</v>
      </c>
      <c r="D43" s="92"/>
      <c r="E43" s="92"/>
      <c r="F43" s="114">
        <f t="shared" si="14"/>
        <v>0</v>
      </c>
      <c r="G43" s="92"/>
      <c r="H43" s="92"/>
      <c r="I43" s="114">
        <f t="shared" si="15"/>
        <v>0</v>
      </c>
      <c r="J43" s="92"/>
      <c r="K43" s="92"/>
      <c r="L43" s="114">
        <f t="shared" si="16"/>
        <v>0</v>
      </c>
      <c r="M43" s="92"/>
      <c r="N43" s="92"/>
      <c r="O43" s="114">
        <f t="shared" si="17"/>
        <v>0</v>
      </c>
      <c r="P43" s="92"/>
      <c r="Q43" s="92"/>
      <c r="R43" s="114">
        <f t="shared" si="18"/>
        <v>0</v>
      </c>
      <c r="S43" s="92"/>
      <c r="T43" s="92"/>
      <c r="U43" s="114">
        <f t="shared" si="19"/>
        <v>0</v>
      </c>
      <c r="V43" s="92"/>
      <c r="W43" s="92"/>
      <c r="X43" s="114">
        <f t="shared" si="20"/>
        <v>0</v>
      </c>
      <c r="Y43" s="92"/>
      <c r="Z43" s="92"/>
      <c r="AA43" s="114">
        <f t="shared" si="21"/>
        <v>0</v>
      </c>
      <c r="AB43" s="92"/>
      <c r="AC43" s="92"/>
      <c r="AD43" s="114">
        <f t="shared" si="22"/>
        <v>0</v>
      </c>
      <c r="AE43" s="92"/>
      <c r="AF43" s="92"/>
      <c r="AG43" s="114">
        <f t="shared" si="23"/>
        <v>0</v>
      </c>
      <c r="AH43" s="92"/>
      <c r="AI43" s="92"/>
      <c r="AJ43" s="114">
        <f t="shared" si="24"/>
        <v>0</v>
      </c>
      <c r="AK43" s="92"/>
      <c r="AL43" s="92"/>
      <c r="AM43" s="114">
        <f t="shared" si="25"/>
        <v>0</v>
      </c>
      <c r="AN43" s="92"/>
      <c r="AO43" s="92"/>
      <c r="AP43" s="114">
        <f t="shared" si="26"/>
        <v>0</v>
      </c>
      <c r="AQ43" s="92"/>
      <c r="AR43" s="92"/>
      <c r="AS43" s="114">
        <f t="shared" si="27"/>
        <v>0</v>
      </c>
      <c r="AT43" s="92"/>
      <c r="AU43" s="92"/>
      <c r="AV43" s="114">
        <f t="shared" si="28"/>
        <v>0</v>
      </c>
      <c r="AW43" s="92"/>
      <c r="AX43" s="92"/>
      <c r="AY43" s="114">
        <f t="shared" si="29"/>
        <v>0</v>
      </c>
      <c r="AZ43" s="92"/>
      <c r="BA43" s="92"/>
      <c r="BB43" s="114">
        <f t="shared" si="30"/>
        <v>0</v>
      </c>
      <c r="BC43" s="101"/>
      <c r="BD43" s="101"/>
      <c r="BE43" s="114">
        <f t="shared" si="31"/>
        <v>0</v>
      </c>
      <c r="BF43" s="101"/>
      <c r="BG43" s="101"/>
      <c r="BH43" s="114">
        <f t="shared" si="32"/>
        <v>0</v>
      </c>
      <c r="BI43" s="101"/>
      <c r="BJ43" s="101"/>
      <c r="BK43" s="114">
        <f t="shared" si="33"/>
        <v>0</v>
      </c>
      <c r="BL43" s="92"/>
      <c r="BM43" s="92"/>
      <c r="BN43" s="114">
        <f t="shared" si="0"/>
        <v>0</v>
      </c>
      <c r="BO43" s="92"/>
      <c r="BP43" s="92"/>
      <c r="BQ43" s="114">
        <f t="shared" si="1"/>
        <v>0</v>
      </c>
      <c r="BR43" s="92"/>
      <c r="BS43" s="92"/>
      <c r="BT43" s="114">
        <f t="shared" si="2"/>
        <v>0</v>
      </c>
      <c r="BU43" s="92"/>
      <c r="BV43" s="92"/>
      <c r="BW43" s="114">
        <f t="shared" si="3"/>
        <v>0</v>
      </c>
      <c r="BX43" s="92"/>
      <c r="BY43" s="92"/>
      <c r="BZ43" s="114">
        <f t="shared" si="4"/>
        <v>0</v>
      </c>
      <c r="CA43" s="92"/>
      <c r="CB43" s="92"/>
      <c r="CC43" s="114">
        <f t="shared" si="5"/>
        <v>0</v>
      </c>
      <c r="CD43" s="92"/>
      <c r="CE43" s="92"/>
      <c r="CF43" s="114">
        <f t="shared" si="6"/>
        <v>0</v>
      </c>
      <c r="CG43" s="92"/>
      <c r="CH43" s="92"/>
      <c r="CI43" s="114">
        <f t="shared" si="7"/>
        <v>0</v>
      </c>
      <c r="CJ43" s="92"/>
      <c r="CK43" s="92"/>
      <c r="CL43" s="114">
        <f t="shared" si="8"/>
        <v>0</v>
      </c>
      <c r="CM43" s="92"/>
      <c r="CN43" s="92"/>
      <c r="CO43" s="114">
        <f t="shared" si="34"/>
        <v>0</v>
      </c>
      <c r="CP43" s="92"/>
      <c r="CQ43" s="92"/>
      <c r="CR43" s="114">
        <f t="shared" si="9"/>
        <v>0</v>
      </c>
      <c r="CS43" s="92"/>
      <c r="CT43" s="92"/>
      <c r="CU43" s="114">
        <f t="shared" si="10"/>
        <v>0</v>
      </c>
      <c r="CV43" s="92"/>
      <c r="CW43" s="92"/>
      <c r="CX43" s="114">
        <f t="shared" si="11"/>
        <v>0</v>
      </c>
      <c r="CY43" s="92"/>
      <c r="CZ43" s="92"/>
      <c r="DA43" s="114">
        <f t="shared" si="12"/>
        <v>0</v>
      </c>
    </row>
    <row r="44" spans="1:105">
      <c r="A44" s="92"/>
      <c r="B44" s="92"/>
      <c r="C44" s="114">
        <f t="shared" si="13"/>
        <v>0</v>
      </c>
      <c r="D44" s="92"/>
      <c r="E44" s="92"/>
      <c r="F44" s="114">
        <f t="shared" si="14"/>
        <v>0</v>
      </c>
      <c r="G44" s="92"/>
      <c r="H44" s="92"/>
      <c r="I44" s="114">
        <f t="shared" si="15"/>
        <v>0</v>
      </c>
      <c r="J44" s="92"/>
      <c r="K44" s="92"/>
      <c r="L44" s="114">
        <f t="shared" si="16"/>
        <v>0</v>
      </c>
      <c r="M44" s="92"/>
      <c r="N44" s="92"/>
      <c r="O44" s="114">
        <f t="shared" si="17"/>
        <v>0</v>
      </c>
      <c r="P44" s="92"/>
      <c r="Q44" s="92"/>
      <c r="R44" s="114">
        <f t="shared" si="18"/>
        <v>0</v>
      </c>
      <c r="S44" s="92"/>
      <c r="T44" s="92"/>
      <c r="U44" s="114">
        <f t="shared" si="19"/>
        <v>0</v>
      </c>
      <c r="V44" s="92"/>
      <c r="W44" s="92"/>
      <c r="X44" s="114">
        <f t="shared" si="20"/>
        <v>0</v>
      </c>
      <c r="Y44" s="92"/>
      <c r="Z44" s="92"/>
      <c r="AA44" s="114">
        <f t="shared" si="21"/>
        <v>0</v>
      </c>
      <c r="AB44" s="92"/>
      <c r="AC44" s="92"/>
      <c r="AD44" s="114">
        <f t="shared" si="22"/>
        <v>0</v>
      </c>
      <c r="AE44" s="92"/>
      <c r="AF44" s="92"/>
      <c r="AG44" s="114">
        <f t="shared" si="23"/>
        <v>0</v>
      </c>
      <c r="AH44" s="92"/>
      <c r="AI44" s="92"/>
      <c r="AJ44" s="114">
        <f t="shared" si="24"/>
        <v>0</v>
      </c>
      <c r="AK44" s="92"/>
      <c r="AL44" s="92"/>
      <c r="AM44" s="114">
        <f t="shared" si="25"/>
        <v>0</v>
      </c>
      <c r="AN44" s="92"/>
      <c r="AO44" s="92"/>
      <c r="AP44" s="114">
        <f t="shared" si="26"/>
        <v>0</v>
      </c>
      <c r="AQ44" s="92"/>
      <c r="AR44" s="92"/>
      <c r="AS44" s="114">
        <f t="shared" si="27"/>
        <v>0</v>
      </c>
      <c r="AT44" s="92"/>
      <c r="AU44" s="92"/>
      <c r="AV44" s="114">
        <f t="shared" si="28"/>
        <v>0</v>
      </c>
      <c r="AW44" s="92"/>
      <c r="AX44" s="92"/>
      <c r="AY44" s="114">
        <f t="shared" si="29"/>
        <v>0</v>
      </c>
      <c r="AZ44" s="92"/>
      <c r="BA44" s="92"/>
      <c r="BB44" s="114">
        <f t="shared" si="30"/>
        <v>0</v>
      </c>
      <c r="BC44" s="101"/>
      <c r="BD44" s="101"/>
      <c r="BE44" s="114">
        <f t="shared" si="31"/>
        <v>0</v>
      </c>
      <c r="BF44" s="101"/>
      <c r="BG44" s="101"/>
      <c r="BH44" s="114">
        <f t="shared" si="32"/>
        <v>0</v>
      </c>
      <c r="BI44" s="101"/>
      <c r="BJ44" s="101"/>
      <c r="BK44" s="114">
        <f t="shared" si="33"/>
        <v>0</v>
      </c>
      <c r="BL44" s="92"/>
      <c r="BM44" s="92"/>
      <c r="BN44" s="114">
        <f t="shared" si="0"/>
        <v>0</v>
      </c>
      <c r="BO44" s="92"/>
      <c r="BP44" s="92"/>
      <c r="BQ44" s="114">
        <f t="shared" si="1"/>
        <v>0</v>
      </c>
      <c r="BR44" s="92"/>
      <c r="BS44" s="92"/>
      <c r="BT44" s="114">
        <f t="shared" si="2"/>
        <v>0</v>
      </c>
      <c r="BU44" s="92"/>
      <c r="BV44" s="92"/>
      <c r="BW44" s="114">
        <f t="shared" si="3"/>
        <v>0</v>
      </c>
      <c r="BX44" s="92"/>
      <c r="BY44" s="92"/>
      <c r="BZ44" s="114">
        <f t="shared" si="4"/>
        <v>0</v>
      </c>
      <c r="CA44" s="92"/>
      <c r="CB44" s="92"/>
      <c r="CC44" s="114">
        <f t="shared" si="5"/>
        <v>0</v>
      </c>
      <c r="CD44" s="92"/>
      <c r="CE44" s="92"/>
      <c r="CF44" s="114">
        <f t="shared" si="6"/>
        <v>0</v>
      </c>
      <c r="CG44" s="92"/>
      <c r="CH44" s="92"/>
      <c r="CI44" s="114">
        <f t="shared" si="7"/>
        <v>0</v>
      </c>
      <c r="CJ44" s="92"/>
      <c r="CK44" s="92"/>
      <c r="CL44" s="114">
        <f t="shared" si="8"/>
        <v>0</v>
      </c>
      <c r="CM44" s="92"/>
      <c r="CN44" s="92"/>
      <c r="CO44" s="114">
        <f t="shared" si="34"/>
        <v>0</v>
      </c>
      <c r="CP44" s="92"/>
      <c r="CQ44" s="92"/>
      <c r="CR44" s="114">
        <f t="shared" si="9"/>
        <v>0</v>
      </c>
      <c r="CS44" s="92"/>
      <c r="CT44" s="92"/>
      <c r="CU44" s="114">
        <f t="shared" si="10"/>
        <v>0</v>
      </c>
      <c r="CV44" s="92"/>
      <c r="CW44" s="92"/>
      <c r="CX44" s="114">
        <f t="shared" si="11"/>
        <v>0</v>
      </c>
      <c r="CY44" s="92"/>
      <c r="CZ44" s="92"/>
      <c r="DA44" s="114">
        <f t="shared" si="12"/>
        <v>0</v>
      </c>
    </row>
    <row r="45" spans="1:105">
      <c r="A45" s="92"/>
      <c r="B45" s="92"/>
      <c r="C45" s="114">
        <f t="shared" si="13"/>
        <v>0</v>
      </c>
      <c r="D45" s="92"/>
      <c r="E45" s="92"/>
      <c r="F45" s="114">
        <f t="shared" si="14"/>
        <v>0</v>
      </c>
      <c r="G45" s="92"/>
      <c r="H45" s="92"/>
      <c r="I45" s="114">
        <f t="shared" si="15"/>
        <v>0</v>
      </c>
      <c r="J45" s="92"/>
      <c r="K45" s="92"/>
      <c r="L45" s="114">
        <f t="shared" si="16"/>
        <v>0</v>
      </c>
      <c r="M45" s="92"/>
      <c r="N45" s="92"/>
      <c r="O45" s="114">
        <f t="shared" si="17"/>
        <v>0</v>
      </c>
      <c r="P45" s="92"/>
      <c r="Q45" s="92"/>
      <c r="R45" s="114">
        <f t="shared" si="18"/>
        <v>0</v>
      </c>
      <c r="S45" s="92"/>
      <c r="T45" s="92"/>
      <c r="U45" s="114">
        <f t="shared" si="19"/>
        <v>0</v>
      </c>
      <c r="V45" s="92"/>
      <c r="W45" s="92"/>
      <c r="X45" s="114">
        <f t="shared" si="20"/>
        <v>0</v>
      </c>
      <c r="Y45" s="92"/>
      <c r="Z45" s="92"/>
      <c r="AA45" s="114">
        <f t="shared" si="21"/>
        <v>0</v>
      </c>
      <c r="AB45" s="92"/>
      <c r="AC45" s="92"/>
      <c r="AD45" s="114">
        <f t="shared" si="22"/>
        <v>0</v>
      </c>
      <c r="AE45" s="92"/>
      <c r="AF45" s="92"/>
      <c r="AG45" s="114">
        <f t="shared" si="23"/>
        <v>0</v>
      </c>
      <c r="AH45" s="92"/>
      <c r="AI45" s="92"/>
      <c r="AJ45" s="114">
        <f t="shared" si="24"/>
        <v>0</v>
      </c>
      <c r="AK45" s="92"/>
      <c r="AL45" s="92"/>
      <c r="AM45" s="114">
        <f t="shared" si="25"/>
        <v>0</v>
      </c>
      <c r="AN45" s="92"/>
      <c r="AO45" s="92"/>
      <c r="AP45" s="114">
        <f t="shared" si="26"/>
        <v>0</v>
      </c>
      <c r="AQ45" s="92"/>
      <c r="AR45" s="92"/>
      <c r="AS45" s="114">
        <f t="shared" si="27"/>
        <v>0</v>
      </c>
      <c r="AT45" s="92"/>
      <c r="AU45" s="92"/>
      <c r="AV45" s="114">
        <f t="shared" si="28"/>
        <v>0</v>
      </c>
      <c r="AW45" s="92"/>
      <c r="AX45" s="92"/>
      <c r="AY45" s="114">
        <f t="shared" si="29"/>
        <v>0</v>
      </c>
      <c r="AZ45" s="92"/>
      <c r="BA45" s="92"/>
      <c r="BB45" s="114">
        <f t="shared" si="30"/>
        <v>0</v>
      </c>
      <c r="BC45" s="101"/>
      <c r="BD45" s="101"/>
      <c r="BE45" s="114">
        <f t="shared" si="31"/>
        <v>0</v>
      </c>
      <c r="BF45" s="101"/>
      <c r="BG45" s="101"/>
      <c r="BH45" s="114">
        <f t="shared" si="32"/>
        <v>0</v>
      </c>
      <c r="BI45" s="101"/>
      <c r="BJ45" s="101"/>
      <c r="BK45" s="114">
        <f t="shared" si="33"/>
        <v>0</v>
      </c>
      <c r="BL45" s="92"/>
      <c r="BM45" s="92"/>
      <c r="BN45" s="114">
        <f t="shared" si="0"/>
        <v>0</v>
      </c>
      <c r="BO45" s="92"/>
      <c r="BP45" s="92"/>
      <c r="BQ45" s="114">
        <f t="shared" si="1"/>
        <v>0</v>
      </c>
      <c r="BR45" s="92"/>
      <c r="BS45" s="92"/>
      <c r="BT45" s="114">
        <f t="shared" si="2"/>
        <v>0</v>
      </c>
      <c r="BU45" s="92"/>
      <c r="BV45" s="92"/>
      <c r="BW45" s="114">
        <f t="shared" si="3"/>
        <v>0</v>
      </c>
      <c r="BX45" s="92"/>
      <c r="BY45" s="92"/>
      <c r="BZ45" s="114">
        <f t="shared" si="4"/>
        <v>0</v>
      </c>
      <c r="CA45" s="92"/>
      <c r="CB45" s="92"/>
      <c r="CC45" s="114">
        <f t="shared" si="5"/>
        <v>0</v>
      </c>
      <c r="CD45" s="92"/>
      <c r="CE45" s="92"/>
      <c r="CF45" s="114">
        <f t="shared" si="6"/>
        <v>0</v>
      </c>
      <c r="CG45" s="92"/>
      <c r="CH45" s="92"/>
      <c r="CI45" s="114">
        <f t="shared" si="7"/>
        <v>0</v>
      </c>
      <c r="CJ45" s="92"/>
      <c r="CK45" s="92"/>
      <c r="CL45" s="114">
        <f t="shared" si="8"/>
        <v>0</v>
      </c>
      <c r="CM45" s="92"/>
      <c r="CN45" s="92"/>
      <c r="CO45" s="114">
        <f t="shared" si="34"/>
        <v>0</v>
      </c>
      <c r="CP45" s="92"/>
      <c r="CQ45" s="92"/>
      <c r="CR45" s="114">
        <f t="shared" si="9"/>
        <v>0</v>
      </c>
      <c r="CS45" s="92"/>
      <c r="CT45" s="92"/>
      <c r="CU45" s="114">
        <f t="shared" si="10"/>
        <v>0</v>
      </c>
      <c r="CV45" s="92"/>
      <c r="CW45" s="92"/>
      <c r="CX45" s="114">
        <f t="shared" si="11"/>
        <v>0</v>
      </c>
      <c r="CY45" s="92"/>
      <c r="CZ45" s="92"/>
      <c r="DA45" s="114">
        <f t="shared" si="12"/>
        <v>0</v>
      </c>
    </row>
    <row r="46" spans="1:105" s="103" customFormat="1">
      <c r="A46" s="187" t="s">
        <v>30</v>
      </c>
      <c r="B46" s="187"/>
      <c r="C46" s="104">
        <f>SUM(C2:C45)</f>
        <v>6.8750000000000006E-2</v>
      </c>
      <c r="D46" s="187" t="s">
        <v>30</v>
      </c>
      <c r="E46" s="187"/>
      <c r="F46" s="104">
        <f>SUM(F2:F45)</f>
        <v>0.16666666666666666</v>
      </c>
      <c r="G46" s="187" t="s">
        <v>30</v>
      </c>
      <c r="H46" s="187"/>
      <c r="I46" s="104">
        <f>SUM(I2:I45)</f>
        <v>0.64652777777777781</v>
      </c>
      <c r="J46" s="187" t="s">
        <v>30</v>
      </c>
      <c r="K46" s="187"/>
      <c r="L46" s="104">
        <f>SUM(L2:L45)</f>
        <v>8.4027777777777785E-2</v>
      </c>
      <c r="M46" s="187" t="s">
        <v>30</v>
      </c>
      <c r="N46" s="187"/>
      <c r="O46" s="104">
        <f>SUM(O2:O45)</f>
        <v>0.44999999999999996</v>
      </c>
      <c r="P46" s="187" t="s">
        <v>30</v>
      </c>
      <c r="Q46" s="187"/>
      <c r="R46" s="104">
        <f>SUM(R2:R45)</f>
        <v>0.72222222222222232</v>
      </c>
      <c r="S46" s="187" t="s">
        <v>30</v>
      </c>
      <c r="T46" s="187"/>
      <c r="U46" s="104">
        <f>SUM(U2:U45)</f>
        <v>0.28263888888888877</v>
      </c>
      <c r="V46" s="187" t="s">
        <v>30</v>
      </c>
      <c r="W46" s="187"/>
      <c r="X46" s="104">
        <f>SUM(X2:X45)</f>
        <v>0.13402777777777788</v>
      </c>
      <c r="Y46" s="187" t="s">
        <v>30</v>
      </c>
      <c r="Z46" s="187"/>
      <c r="AA46" s="104">
        <f>SUM(AA2:AA45)</f>
        <v>0.23333333333333345</v>
      </c>
      <c r="AB46" s="187" t="s">
        <v>30</v>
      </c>
      <c r="AC46" s="187"/>
      <c r="AD46" s="104">
        <f>SUM(AD2:AD45)</f>
        <v>0.3041666666666667</v>
      </c>
      <c r="AE46" s="187" t="s">
        <v>30</v>
      </c>
      <c r="AF46" s="187"/>
      <c r="AG46" s="104">
        <f>SUM(AG2:AG45)</f>
        <v>8.611111111111111E-2</v>
      </c>
      <c r="AH46" s="187" t="s">
        <v>30</v>
      </c>
      <c r="AI46" s="187"/>
      <c r="AJ46" s="104">
        <f>SUM(AJ2:AJ45)</f>
        <v>3.9583333333333331E-2</v>
      </c>
      <c r="AK46" s="211" t="s">
        <v>30</v>
      </c>
      <c r="AL46" s="211"/>
      <c r="AM46" s="104">
        <f>SUM(AM2:AM45)</f>
        <v>0.2381944444444444</v>
      </c>
      <c r="AN46" s="187" t="s">
        <v>30</v>
      </c>
      <c r="AO46" s="187"/>
      <c r="AP46" s="104">
        <f>SUM(AP2:AP45)</f>
        <v>0.21388888888888893</v>
      </c>
      <c r="AQ46" s="187" t="s">
        <v>30</v>
      </c>
      <c r="AR46" s="187"/>
      <c r="AS46" s="104">
        <f>SUM(AS2:AS45)</f>
        <v>5.902777777777779E-2</v>
      </c>
      <c r="AT46" s="187" t="s">
        <v>30</v>
      </c>
      <c r="AU46" s="187"/>
      <c r="AV46" s="104">
        <f>SUM(AV2:AV45)</f>
        <v>0</v>
      </c>
      <c r="AW46" s="187" t="s">
        <v>30</v>
      </c>
      <c r="AX46" s="187"/>
      <c r="AY46" s="104">
        <f>SUM(AY2:AY45)</f>
        <v>6.597222222222221E-2</v>
      </c>
      <c r="AZ46" s="187" t="s">
        <v>30</v>
      </c>
      <c r="BA46" s="187"/>
      <c r="BB46" s="104">
        <f>SUM(BB2:BB45)</f>
        <v>0.24652777777777779</v>
      </c>
      <c r="BC46" s="187" t="s">
        <v>30</v>
      </c>
      <c r="BD46" s="187"/>
      <c r="BE46" s="104">
        <f>SUM(BE2:BE45)</f>
        <v>3.4722222222222224E-2</v>
      </c>
      <c r="BF46" s="187" t="s">
        <v>30</v>
      </c>
      <c r="BG46" s="187"/>
      <c r="BH46" s="104">
        <f>SUM(BH2:BH45)</f>
        <v>9.0277777777777769E-3</v>
      </c>
      <c r="BI46" s="187" t="s">
        <v>30</v>
      </c>
      <c r="BJ46" s="187"/>
      <c r="BK46" s="104">
        <f>SUM(BK2:BK45)</f>
        <v>0.16111111111111115</v>
      </c>
      <c r="BL46" s="187" t="s">
        <v>30</v>
      </c>
      <c r="BM46" s="187"/>
      <c r="BN46" s="104">
        <f>SUM(BN2:BN45)</f>
        <v>0.13263888888888886</v>
      </c>
      <c r="BO46" s="187" t="s">
        <v>30</v>
      </c>
      <c r="BP46" s="187"/>
      <c r="BQ46" s="104">
        <f>SUM(BQ2:BQ45)</f>
        <v>3.9583333333333304E-2</v>
      </c>
      <c r="BR46" s="187" t="s">
        <v>30</v>
      </c>
      <c r="BS46" s="187"/>
      <c r="BT46" s="104">
        <f>SUM(BT2:BT45)</f>
        <v>7.6388888888888895E-2</v>
      </c>
      <c r="BU46" s="187" t="s">
        <v>30</v>
      </c>
      <c r="BV46" s="187"/>
      <c r="BW46" s="104">
        <f>SUM(BW2:BW45)</f>
        <v>0</v>
      </c>
      <c r="BX46" s="187" t="s">
        <v>30</v>
      </c>
      <c r="BY46" s="187"/>
      <c r="BZ46" s="104">
        <f>SUM(BZ2:BZ45)</f>
        <v>0</v>
      </c>
      <c r="CA46" s="187" t="s">
        <v>30</v>
      </c>
      <c r="CB46" s="187"/>
      <c r="CC46" s="104">
        <f>SUM(CC2:CC45)</f>
        <v>0</v>
      </c>
      <c r="CD46" s="187" t="s">
        <v>30</v>
      </c>
      <c r="CE46" s="187"/>
      <c r="CF46" s="104">
        <f>SUM(CF2:CF45)</f>
        <v>0</v>
      </c>
      <c r="CG46" s="187" t="s">
        <v>30</v>
      </c>
      <c r="CH46" s="187"/>
      <c r="CI46" s="104">
        <f>SUM(CI2:CI45)</f>
        <v>0</v>
      </c>
      <c r="CJ46" s="187" t="s">
        <v>30</v>
      </c>
      <c r="CK46" s="187"/>
      <c r="CL46" s="104">
        <f>SUM(CL2:CL45)</f>
        <v>0</v>
      </c>
      <c r="CM46" s="187" t="s">
        <v>30</v>
      </c>
      <c r="CN46" s="187"/>
      <c r="CO46" s="104">
        <f>SUM(CO2:CO45)</f>
        <v>0</v>
      </c>
      <c r="CP46" s="187" t="s">
        <v>30</v>
      </c>
      <c r="CQ46" s="187"/>
      <c r="CR46" s="104">
        <f>SUM(CR2:CR45)</f>
        <v>3.8888888888888862E-2</v>
      </c>
      <c r="CS46" s="187" t="s">
        <v>30</v>
      </c>
      <c r="CT46" s="187"/>
      <c r="CU46" s="104">
        <f>SUM(CU2:CU45)</f>
        <v>0</v>
      </c>
      <c r="CV46" s="187" t="s">
        <v>30</v>
      </c>
      <c r="CW46" s="187"/>
      <c r="CX46" s="104">
        <f>SUM(CX2:CX45)</f>
        <v>0</v>
      </c>
      <c r="CY46" s="187" t="s">
        <v>30</v>
      </c>
      <c r="CZ46" s="187"/>
      <c r="DA46" s="104">
        <f>SUM(DA2:DA45)</f>
        <v>4.1666666666666741E-2</v>
      </c>
    </row>
  </sheetData>
  <mergeCells count="70">
    <mergeCell ref="CY1:DA1"/>
    <mergeCell ref="CY46:CZ46"/>
    <mergeCell ref="CS1:CU1"/>
    <mergeCell ref="CS46:CT46"/>
    <mergeCell ref="CV1:CX1"/>
    <mergeCell ref="CV46:CW46"/>
    <mergeCell ref="CJ1:CL1"/>
    <mergeCell ref="CJ46:CK46"/>
    <mergeCell ref="CM1:CO1"/>
    <mergeCell ref="CM46:CN46"/>
    <mergeCell ref="CP1:CR1"/>
    <mergeCell ref="CP46:CQ46"/>
    <mergeCell ref="CA1:CC1"/>
    <mergeCell ref="CA46:CB46"/>
    <mergeCell ref="CD1:CF1"/>
    <mergeCell ref="CD46:CE46"/>
    <mergeCell ref="CG1:CI1"/>
    <mergeCell ref="CG46:CH46"/>
    <mergeCell ref="BR1:BT1"/>
    <mergeCell ref="BR46:BS46"/>
    <mergeCell ref="BU1:BW1"/>
    <mergeCell ref="BU46:BV46"/>
    <mergeCell ref="BX1:BZ1"/>
    <mergeCell ref="BX46:BY46"/>
    <mergeCell ref="BO1:BQ1"/>
    <mergeCell ref="BO46:BP46"/>
    <mergeCell ref="AK46:AL46"/>
    <mergeCell ref="AN46:AO46"/>
    <mergeCell ref="AQ46:AR46"/>
    <mergeCell ref="AT46:AU46"/>
    <mergeCell ref="AW46:AX46"/>
    <mergeCell ref="AZ46:BA46"/>
    <mergeCell ref="BC46:BD46"/>
    <mergeCell ref="BF46:BG46"/>
    <mergeCell ref="BI46:BJ46"/>
    <mergeCell ref="BL1:BN1"/>
    <mergeCell ref="BL46:BM46"/>
    <mergeCell ref="S46:T46"/>
    <mergeCell ref="V46:W46"/>
    <mergeCell ref="Y46:Z46"/>
    <mergeCell ref="AB46:AC46"/>
    <mergeCell ref="AE46:AF46"/>
    <mergeCell ref="AH46:AI46"/>
    <mergeCell ref="BC1:BE1"/>
    <mergeCell ref="BF1:BH1"/>
    <mergeCell ref="BI1:BK1"/>
    <mergeCell ref="A46:B46"/>
    <mergeCell ref="D46:E46"/>
    <mergeCell ref="G46:H46"/>
    <mergeCell ref="J46:K46"/>
    <mergeCell ref="M46:N46"/>
    <mergeCell ref="P46:Q46"/>
    <mergeCell ref="AK1:AM1"/>
    <mergeCell ref="AN1:AP1"/>
    <mergeCell ref="AQ1:AS1"/>
    <mergeCell ref="AT1:AV1"/>
    <mergeCell ref="AW1:AY1"/>
    <mergeCell ref="AZ1:BB1"/>
    <mergeCell ref="AH1:AJ1"/>
    <mergeCell ref="A1:C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B3B7-0F05-4808-8860-6E1DEE6A4AC0}">
  <sheetPr>
    <tabColor theme="5"/>
  </sheetPr>
  <dimension ref="A1:AE7"/>
  <sheetViews>
    <sheetView workbookViewId="0">
      <selection activeCell="A7" sqref="A7:B7"/>
    </sheetView>
  </sheetViews>
  <sheetFormatPr defaultRowHeight="15"/>
  <cols>
    <col min="1" max="1" width="19.85546875" bestFit="1" customWidth="1"/>
    <col min="2" max="2" width="16.140625" bestFit="1" customWidth="1"/>
    <col min="3" max="3" width="17.85546875" bestFit="1" customWidth="1"/>
    <col min="4" max="31" width="16.140625" bestFit="1" customWidth="1"/>
  </cols>
  <sheetData>
    <row r="1" spans="1:31" ht="18.75">
      <c r="A1" s="109">
        <v>202401100</v>
      </c>
      <c r="B1" s="110">
        <v>202401281</v>
      </c>
      <c r="C1" s="109">
        <v>202400991</v>
      </c>
      <c r="D1" s="110">
        <v>202400989</v>
      </c>
      <c r="E1" s="109">
        <v>202400988</v>
      </c>
      <c r="F1" s="110">
        <v>202401099</v>
      </c>
      <c r="G1" s="109">
        <v>202400990</v>
      </c>
      <c r="H1" s="110">
        <v>202401401</v>
      </c>
      <c r="I1" s="109">
        <v>202400448</v>
      </c>
      <c r="J1" s="110">
        <v>202500029</v>
      </c>
      <c r="K1" s="109">
        <v>202500030</v>
      </c>
      <c r="L1" s="110">
        <v>202500031</v>
      </c>
      <c r="M1" s="109">
        <v>202500034</v>
      </c>
      <c r="N1" s="110">
        <v>202500118</v>
      </c>
      <c r="O1" s="109">
        <v>202500119</v>
      </c>
      <c r="P1" s="110">
        <v>202500120</v>
      </c>
      <c r="Q1" s="109">
        <v>202500121</v>
      </c>
      <c r="R1" s="110">
        <v>202500127</v>
      </c>
      <c r="S1" s="109">
        <v>202500132</v>
      </c>
      <c r="T1" s="110">
        <v>202500298</v>
      </c>
      <c r="U1" s="109">
        <v>202500357</v>
      </c>
      <c r="V1" s="110">
        <v>202500358</v>
      </c>
      <c r="W1" s="109">
        <v>202500379</v>
      </c>
      <c r="X1" s="110">
        <v>202500631</v>
      </c>
      <c r="Y1" s="109">
        <v>202500519</v>
      </c>
      <c r="Z1" s="110">
        <v>202500520</v>
      </c>
      <c r="AA1" s="109">
        <v>202500521</v>
      </c>
      <c r="AB1" s="110">
        <v>202500867</v>
      </c>
      <c r="AC1" s="109">
        <v>202500866</v>
      </c>
      <c r="AD1" s="110">
        <v>202500869</v>
      </c>
      <c r="AE1" s="109">
        <v>202500868</v>
      </c>
    </row>
    <row r="2" spans="1:31" ht="18.75">
      <c r="A2" s="107">
        <v>3.75</v>
      </c>
      <c r="B2" s="108">
        <v>3.75</v>
      </c>
      <c r="C2" s="107">
        <v>3.75</v>
      </c>
      <c r="D2" s="108">
        <v>4.375</v>
      </c>
      <c r="E2" s="107">
        <v>5</v>
      </c>
      <c r="F2" s="108">
        <v>2.5</v>
      </c>
      <c r="G2" s="107">
        <v>4.166666666666667</v>
      </c>
      <c r="H2" s="108">
        <v>1.25</v>
      </c>
      <c r="I2" s="107">
        <v>0.41666666666666669</v>
      </c>
      <c r="J2" s="108">
        <v>4.166666666666667</v>
      </c>
      <c r="K2" s="107">
        <v>4.166666666666667</v>
      </c>
      <c r="L2" s="108">
        <v>3.75</v>
      </c>
      <c r="M2" s="107">
        <v>5.416666666666667</v>
      </c>
      <c r="N2" s="108">
        <v>4.166666666666667</v>
      </c>
      <c r="O2" s="107">
        <v>3.75</v>
      </c>
      <c r="P2" s="108">
        <v>5</v>
      </c>
      <c r="Q2" s="107">
        <v>3.75</v>
      </c>
      <c r="R2" s="108">
        <v>5.833333333333333</v>
      </c>
      <c r="S2" s="107">
        <v>4.166666666666667</v>
      </c>
      <c r="T2" s="108">
        <v>3.75</v>
      </c>
      <c r="U2" s="107">
        <v>4.166666666666667</v>
      </c>
      <c r="V2" s="108">
        <v>4.166666666666667</v>
      </c>
      <c r="W2" s="107">
        <v>4.791666666666667</v>
      </c>
      <c r="X2" s="108">
        <v>4.583333333333333</v>
      </c>
      <c r="Y2" s="107">
        <v>5</v>
      </c>
      <c r="Z2" s="108">
        <v>4.166666666666667</v>
      </c>
      <c r="AA2" s="107">
        <v>3.75</v>
      </c>
      <c r="AB2" s="108">
        <v>4.583333333333333</v>
      </c>
      <c r="AC2" s="107">
        <v>5.416666666666667</v>
      </c>
      <c r="AD2" s="108">
        <v>4.166666666666667</v>
      </c>
      <c r="AE2" s="107">
        <v>5</v>
      </c>
    </row>
    <row r="3" spans="1:31" s="42" customFormat="1">
      <c r="A3" s="112" t="s">
        <v>30</v>
      </c>
      <c r="B3" s="112" t="s">
        <v>30</v>
      </c>
      <c r="C3" s="112" t="s">
        <v>30</v>
      </c>
      <c r="D3" s="112" t="s">
        <v>30</v>
      </c>
      <c r="E3" s="112" t="s">
        <v>30</v>
      </c>
      <c r="F3" s="112" t="s">
        <v>30</v>
      </c>
      <c r="G3" s="112" t="s">
        <v>30</v>
      </c>
      <c r="H3" s="112" t="s">
        <v>30</v>
      </c>
      <c r="I3" s="112" t="s">
        <v>30</v>
      </c>
      <c r="J3" s="112" t="s">
        <v>30</v>
      </c>
      <c r="K3" s="112" t="s">
        <v>30</v>
      </c>
      <c r="L3" s="112" t="s">
        <v>30</v>
      </c>
      <c r="M3" s="112" t="s">
        <v>30</v>
      </c>
      <c r="N3" s="112" t="s">
        <v>30</v>
      </c>
      <c r="O3" s="112" t="s">
        <v>30</v>
      </c>
      <c r="P3" s="112" t="s">
        <v>30</v>
      </c>
      <c r="Q3" s="112" t="s">
        <v>30</v>
      </c>
      <c r="R3" s="112" t="s">
        <v>30</v>
      </c>
      <c r="S3" s="112" t="s">
        <v>30</v>
      </c>
      <c r="T3" s="112" t="s">
        <v>30</v>
      </c>
      <c r="U3" s="112" t="s">
        <v>30</v>
      </c>
      <c r="V3" s="112" t="s">
        <v>30</v>
      </c>
      <c r="W3" s="112" t="s">
        <v>30</v>
      </c>
      <c r="X3" s="112" t="s">
        <v>30</v>
      </c>
      <c r="Y3" s="112" t="s">
        <v>30</v>
      </c>
      <c r="Z3" s="112" t="s">
        <v>30</v>
      </c>
      <c r="AA3" s="112" t="s">
        <v>30</v>
      </c>
      <c r="AB3" s="112" t="s">
        <v>30</v>
      </c>
      <c r="AC3" s="112" t="s">
        <v>30</v>
      </c>
      <c r="AD3" s="112" t="s">
        <v>30</v>
      </c>
      <c r="AE3" s="112" t="s">
        <v>30</v>
      </c>
    </row>
    <row r="4" spans="1:31" ht="21">
      <c r="A4" s="111">
        <f>A2-'CONTROLE DE HORAS - RATEIO'!BW46</f>
        <v>3.75</v>
      </c>
      <c r="B4" s="111">
        <f>B2-'CONTROLE DE HORAS - RATEIO'!BZ46</f>
        <v>3.75</v>
      </c>
      <c r="C4" s="111">
        <f>C2-'CONTROLE DE HORAS - RATEIO'!I46</f>
        <v>3.103472222222222</v>
      </c>
      <c r="D4" s="111">
        <f>D2-'CONTROLE DE HORAS - RATEIO'!C46</f>
        <v>4.3062500000000004</v>
      </c>
      <c r="E4" s="111">
        <f>E2-'CONTROLE DE HORAS - RATEIO'!BK46</f>
        <v>4.8388888888888886</v>
      </c>
      <c r="F4" s="111">
        <f>F2-'CONTROLE DE HORAS - RATEIO'!I46</f>
        <v>1.8534722222222222</v>
      </c>
      <c r="G4" s="111">
        <f>G2-'CONTROLE DE HORAS - RATEIO'!F46</f>
        <v>4</v>
      </c>
      <c r="H4" s="111">
        <f>H2-'CONTROLE DE HORAS - RATEIO'!CC46</f>
        <v>1.25</v>
      </c>
      <c r="I4" s="111">
        <f>I2-'CONTROLE DE HORAS - RATEIO'!CF46</f>
        <v>0.41666666666666669</v>
      </c>
      <c r="J4" s="111">
        <f>J2-'CONTROLE DE HORAS - RATEIO'!CI46</f>
        <v>4.166666666666667</v>
      </c>
      <c r="K4" s="111">
        <f>K2-'CONTROLE DE HORAS - RATEIO'!O46</f>
        <v>3.7166666666666668</v>
      </c>
      <c r="L4" s="111">
        <f>L2-'CONTROLE DE HORAS - RATEIO'!CL46</f>
        <v>3.75</v>
      </c>
      <c r="M4" s="111">
        <f>M2-'CONTROLE DE HORAS - RATEIO'!R46</f>
        <v>4.6944444444444446</v>
      </c>
      <c r="N4" s="111">
        <f>N2-'CONTROLE DE HORAS - RATEIO'!CO46</f>
        <v>4.166666666666667</v>
      </c>
      <c r="O4" s="111">
        <f>O2-'CONTROLE DE HORAS - RATEIO'!U46</f>
        <v>3.4673611111111113</v>
      </c>
      <c r="P4" s="111">
        <f>P2-'CONTROLE DE HORAS - RATEIO'!X46</f>
        <v>4.8659722222222221</v>
      </c>
      <c r="Q4" s="111">
        <f>Q2-'CONTROLE DE HORAS - RATEIO'!AA46</f>
        <v>3.5166666666666666</v>
      </c>
      <c r="R4" s="111">
        <f>R2-'CONTROLE DE HORAS - RATEIO'!CR46</f>
        <v>5.7944444444444443</v>
      </c>
      <c r="S4" s="111">
        <f>S2-'CONTROLE DE HORAS - RATEIO'!AD46</f>
        <v>3.8625000000000003</v>
      </c>
      <c r="T4" s="111">
        <f>T2-'CONTROLE DE HORAS - RATEIO'!AG46</f>
        <v>3.6638888888888888</v>
      </c>
      <c r="U4" s="111">
        <f>U2-'CONTROLE DE HORAS - RATEIO'!AJ46</f>
        <v>4.1270833333333332</v>
      </c>
      <c r="V4" s="111">
        <f>V2-'CONTROLE DE HORAS - RATEIO'!AM46</f>
        <v>3.9284722222222226</v>
      </c>
      <c r="W4" s="111">
        <f>W2-'CONTROLE DE HORAS - RATEIO'!AP46</f>
        <v>4.5777777777777784</v>
      </c>
      <c r="X4" s="111">
        <f>X2-'CONTROLE DE HORAS - RATEIO'!BB46</f>
        <v>4.3368055555555554</v>
      </c>
      <c r="Y4" s="111">
        <f>Y2-'CONTROLE DE HORAS - RATEIO'!AS46</f>
        <v>4.9409722222222223</v>
      </c>
      <c r="Z4" s="111">
        <f>Z2-'CONTROLE DE HORAS - RATEIO'!AV46</f>
        <v>4.166666666666667</v>
      </c>
      <c r="AA4" s="111">
        <f>AA2-'CONTROLE DE HORAS - RATEIO'!AY46</f>
        <v>3.6840277777777777</v>
      </c>
      <c r="AB4" s="111">
        <f>AB2-'CONTROLE DE HORAS - RATEIO'!BE46</f>
        <v>4.5486111111111107</v>
      </c>
      <c r="AC4" s="111">
        <f>AC2-'CONTROLE DE HORAS - RATEIO'!CU46</f>
        <v>5.416666666666667</v>
      </c>
      <c r="AD4" s="111">
        <f>AD2-'CONTROLE DE HORAS - RATEIO'!CX46</f>
        <v>4.166666666666667</v>
      </c>
      <c r="AE4" s="111">
        <f>AE2-'CONTROLE DE HORAS - RATEIO'!BH46</f>
        <v>4.9909722222222221</v>
      </c>
    </row>
    <row r="6" spans="1:31" ht="75" customHeight="1">
      <c r="A6" s="190" t="s">
        <v>31</v>
      </c>
      <c r="B6" s="191"/>
      <c r="C6" s="194" t="s">
        <v>32</v>
      </c>
      <c r="D6" s="194"/>
    </row>
    <row r="7" spans="1:31" ht="18.75">
      <c r="A7" s="192"/>
      <c r="B7" s="193"/>
      <c r="C7" s="195" t="str">
        <f>IFERROR(HLOOKUP(A7,A1:AE4,4,0),"")</f>
        <v/>
      </c>
      <c r="D7" s="196"/>
    </row>
  </sheetData>
  <mergeCells count="4">
    <mergeCell ref="A6:B6"/>
    <mergeCell ref="A7:B7"/>
    <mergeCell ref="C6:D6"/>
    <mergeCell ref="C7:D7"/>
  </mergeCells>
  <conditionalFormatting sqref="A4:XFD4">
    <cfRule type="cellIs" dxfId="15" priority="1" operator="lessThan">
      <formula>0.416666666666667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5DBD-F76C-41E8-94CD-D81338338251}">
  <sheetPr codeName="Planilha2">
    <tabColor theme="5" tint="-0.249977111117893"/>
  </sheetPr>
  <dimension ref="A1:R918"/>
  <sheetViews>
    <sheetView zoomScaleNormal="100" workbookViewId="0">
      <selection activeCell="M21" sqref="M21"/>
    </sheetView>
  </sheetViews>
  <sheetFormatPr defaultRowHeight="15"/>
  <cols>
    <col min="1" max="1" width="15.7109375" style="24" customWidth="1"/>
    <col min="2" max="2" width="28.28515625" style="24" customWidth="1"/>
    <col min="3" max="3" width="24.85546875" style="24" customWidth="1"/>
    <col min="4" max="4" width="11.140625" style="21" hidden="1" customWidth="1"/>
    <col min="5" max="5" width="23.42578125" hidden="1" customWidth="1"/>
    <col min="6" max="6" width="42.5703125" hidden="1" customWidth="1"/>
    <col min="7" max="7" width="42.140625" customWidth="1"/>
    <col min="8" max="8" width="29.42578125" hidden="1" customWidth="1"/>
    <col min="9" max="9" width="48.7109375" style="42" hidden="1" customWidth="1"/>
    <col min="10" max="10" width="48.7109375" style="42" customWidth="1"/>
    <col min="11" max="11" width="48.7109375" style="42" hidden="1" customWidth="1"/>
  </cols>
  <sheetData>
    <row r="1" spans="1:18">
      <c r="A1" s="205" t="s">
        <v>33</v>
      </c>
      <c r="B1" s="206"/>
      <c r="C1" s="206"/>
      <c r="D1" s="206"/>
      <c r="E1" s="206"/>
      <c r="F1" s="206"/>
      <c r="G1" s="206"/>
      <c r="H1" s="207"/>
    </row>
    <row r="2" spans="1:18">
      <c r="A2" s="98" t="s">
        <v>34</v>
      </c>
      <c r="B2" s="99" t="s">
        <v>35</v>
      </c>
      <c r="C2" s="99" t="s">
        <v>36</v>
      </c>
      <c r="D2" s="99"/>
      <c r="E2" s="99"/>
      <c r="F2" s="99"/>
      <c r="G2" s="99" t="s">
        <v>37</v>
      </c>
      <c r="H2" s="100" t="s">
        <v>38</v>
      </c>
    </row>
    <row r="3" spans="1:18">
      <c r="A3" s="113"/>
      <c r="B3" s="24" t="e">
        <f>VLOOKUP(A3,A4:I35,2,0)</f>
        <v>#N/A</v>
      </c>
      <c r="C3" s="2" t="e">
        <f>VLOOKUP(A3,A4:I35,3,0)</f>
        <v>#N/A</v>
      </c>
      <c r="D3" s="2"/>
      <c r="E3" s="2"/>
      <c r="F3" s="24" t="e">
        <f>VLOOKUP(A3,A4:I35,3,0)</f>
        <v>#N/A</v>
      </c>
      <c r="G3" s="37" t="e">
        <f>VLOOKUP(A3,A4:J35,9,0)</f>
        <v>#N/A</v>
      </c>
      <c r="H3" t="e">
        <f>VLOOKUP(A3,A4:K35,11,0)</f>
        <v>#N/A</v>
      </c>
      <c r="I3" s="42" t="e">
        <f>VLOOKUP(A3,A4:I35,6,0)</f>
        <v>#N/A</v>
      </c>
    </row>
    <row r="4" spans="1:18">
      <c r="A4" s="32" t="s">
        <v>39</v>
      </c>
      <c r="B4" s="32" t="s">
        <v>40</v>
      </c>
      <c r="C4" s="32" t="s">
        <v>41</v>
      </c>
      <c r="D4" s="34" t="s">
        <v>39</v>
      </c>
      <c r="E4" t="s">
        <v>41</v>
      </c>
      <c r="F4" s="40" t="s">
        <v>42</v>
      </c>
      <c r="G4" s="43" t="s">
        <v>42</v>
      </c>
      <c r="H4" s="44" t="s">
        <v>43</v>
      </c>
      <c r="I4" s="45" t="s">
        <v>44</v>
      </c>
      <c r="J4" s="97" t="s">
        <v>45</v>
      </c>
      <c r="K4" s="97" t="s">
        <v>38</v>
      </c>
    </row>
    <row r="5" spans="1:18">
      <c r="A5" s="32">
        <v>202401100</v>
      </c>
      <c r="B5" s="32">
        <v>8</v>
      </c>
      <c r="C5" s="32">
        <f t="shared" ref="C5:C68" si="0">VLOOKUP(A5,D:E,2,0)</f>
        <v>27</v>
      </c>
      <c r="D5" s="18">
        <v>202401100</v>
      </c>
      <c r="E5">
        <v>27</v>
      </c>
      <c r="F5" s="33">
        <f>Tabela1[[#This Row],[Total de jovens na turma ]]*3</f>
        <v>81</v>
      </c>
      <c r="G5" s="39">
        <f>F5/24</f>
        <v>3.375</v>
      </c>
      <c r="H5" s="39">
        <f>6/24</f>
        <v>0.25</v>
      </c>
      <c r="I5" s="39">
        <f>90/24</f>
        <v>3.75</v>
      </c>
      <c r="J5" s="39">
        <v>3.75</v>
      </c>
      <c r="K5" s="39"/>
    </row>
    <row r="6" spans="1:18">
      <c r="A6" s="32">
        <v>202401281</v>
      </c>
      <c r="B6" s="32">
        <v>21</v>
      </c>
      <c r="C6" s="32">
        <f t="shared" si="0"/>
        <v>26</v>
      </c>
      <c r="D6" s="19">
        <v>202401100</v>
      </c>
      <c r="E6">
        <v>27</v>
      </c>
      <c r="F6" s="33">
        <f>Tabela1[[#This Row],[Total de jovens na turma ]]*3</f>
        <v>78</v>
      </c>
      <c r="G6" s="39">
        <f>F6/24</f>
        <v>3.25</v>
      </c>
      <c r="H6" s="39">
        <f t="shared" ref="H6:H35" si="1">6/24</f>
        <v>0.25</v>
      </c>
      <c r="I6" s="39">
        <f>90/24</f>
        <v>3.75</v>
      </c>
      <c r="J6" s="39">
        <v>3.75</v>
      </c>
      <c r="K6" s="39"/>
    </row>
    <row r="7" spans="1:18">
      <c r="A7" s="32">
        <v>202400991</v>
      </c>
      <c r="B7" s="32">
        <v>18</v>
      </c>
      <c r="C7" s="32">
        <f t="shared" si="0"/>
        <v>28</v>
      </c>
      <c r="D7" s="18">
        <v>202401281</v>
      </c>
      <c r="E7">
        <v>26</v>
      </c>
      <c r="F7" s="33">
        <f>Tabela1[[#This Row],[Total de jovens na turma ]]*3</f>
        <v>84</v>
      </c>
      <c r="G7" s="39">
        <f t="shared" ref="G7:G70" si="2">F7/24</f>
        <v>3.5</v>
      </c>
      <c r="H7" s="39">
        <f t="shared" si="1"/>
        <v>0.25</v>
      </c>
      <c r="I7" s="39">
        <f>90/24</f>
        <v>3.75</v>
      </c>
      <c r="J7" s="39">
        <v>3.75</v>
      </c>
      <c r="K7" s="39"/>
    </row>
    <row r="8" spans="1:18">
      <c r="A8" s="32">
        <v>202400989</v>
      </c>
      <c r="B8" s="32">
        <v>24</v>
      </c>
      <c r="C8" s="32">
        <f t="shared" si="0"/>
        <v>32</v>
      </c>
      <c r="D8" s="19">
        <v>202401281</v>
      </c>
      <c r="E8">
        <v>26</v>
      </c>
      <c r="F8" s="33">
        <f>Tabela1[[#This Row],[Total de jovens na turma ]]*3</f>
        <v>96</v>
      </c>
      <c r="G8" s="39">
        <f t="shared" si="2"/>
        <v>4</v>
      </c>
      <c r="H8" s="39">
        <f t="shared" si="1"/>
        <v>0.25</v>
      </c>
      <c r="I8" s="39">
        <f>105/24</f>
        <v>4.375</v>
      </c>
      <c r="J8" s="39">
        <v>4.375</v>
      </c>
      <c r="K8" s="39"/>
      <c r="L8" s="197" t="s">
        <v>46</v>
      </c>
      <c r="M8" s="198"/>
      <c r="N8" s="198"/>
      <c r="O8" s="198"/>
      <c r="P8" s="198"/>
      <c r="Q8" s="198"/>
      <c r="R8" s="198"/>
    </row>
    <row r="9" spans="1:18">
      <c r="A9" s="32">
        <v>202400988</v>
      </c>
      <c r="B9" s="32">
        <v>28</v>
      </c>
      <c r="C9" s="32">
        <f t="shared" si="0"/>
        <v>37</v>
      </c>
      <c r="D9" s="18">
        <v>202401281</v>
      </c>
      <c r="E9">
        <v>26</v>
      </c>
      <c r="F9" s="33">
        <f>Tabela1[[#This Row],[Total de jovens na turma ]]*3</f>
        <v>111</v>
      </c>
      <c r="G9" s="39">
        <f t="shared" si="2"/>
        <v>4.625</v>
      </c>
      <c r="H9" s="39">
        <f t="shared" si="1"/>
        <v>0.25</v>
      </c>
      <c r="I9" s="39">
        <f>120/24</f>
        <v>5</v>
      </c>
      <c r="J9" s="39">
        <v>5</v>
      </c>
      <c r="K9" s="39"/>
      <c r="L9" s="197"/>
      <c r="M9" s="198"/>
      <c r="N9" s="198"/>
      <c r="O9" s="198"/>
      <c r="P9" s="198"/>
      <c r="Q9" s="198"/>
      <c r="R9" s="198"/>
    </row>
    <row r="10" spans="1:18">
      <c r="A10" s="32">
        <v>202401099</v>
      </c>
      <c r="B10" s="32">
        <v>18</v>
      </c>
      <c r="C10" s="32">
        <f t="shared" si="0"/>
        <v>18</v>
      </c>
      <c r="D10" s="19">
        <v>202400991</v>
      </c>
      <c r="E10">
        <v>28</v>
      </c>
      <c r="F10" s="33">
        <f>Tabela1[[#This Row],[Total de jovens na turma ]]*3</f>
        <v>54</v>
      </c>
      <c r="G10" s="39">
        <f t="shared" si="2"/>
        <v>2.25</v>
      </c>
      <c r="H10" s="39">
        <f t="shared" si="1"/>
        <v>0.25</v>
      </c>
      <c r="I10" s="39">
        <f>60/24</f>
        <v>2.5</v>
      </c>
      <c r="J10" s="39">
        <v>2.5</v>
      </c>
      <c r="K10" s="39"/>
      <c r="L10" s="197"/>
      <c r="M10" s="198"/>
      <c r="N10" s="198"/>
      <c r="O10" s="198"/>
      <c r="P10" s="198"/>
      <c r="Q10" s="198"/>
      <c r="R10" s="198"/>
    </row>
    <row r="11" spans="1:18">
      <c r="A11" s="32">
        <v>202400990</v>
      </c>
      <c r="B11" s="32">
        <v>17</v>
      </c>
      <c r="C11" s="32">
        <f t="shared" si="0"/>
        <v>30</v>
      </c>
      <c r="D11" s="18">
        <v>202401281</v>
      </c>
      <c r="E11">
        <v>26</v>
      </c>
      <c r="F11" s="33">
        <f>Tabela1[[#This Row],[Total de jovens na turma ]]*3</f>
        <v>90</v>
      </c>
      <c r="G11" s="39">
        <f t="shared" si="2"/>
        <v>3.75</v>
      </c>
      <c r="H11" s="39">
        <f t="shared" si="1"/>
        <v>0.25</v>
      </c>
      <c r="I11" s="39">
        <f>100/24</f>
        <v>4.166666666666667</v>
      </c>
      <c r="J11" s="39">
        <v>4.166666666666667</v>
      </c>
      <c r="K11" s="39"/>
      <c r="L11" s="197"/>
      <c r="M11" s="198"/>
      <c r="N11" s="198"/>
      <c r="O11" s="198"/>
      <c r="P11" s="198"/>
      <c r="Q11" s="198"/>
      <c r="R11" s="198"/>
    </row>
    <row r="12" spans="1:18">
      <c r="A12" s="32">
        <v>202401401</v>
      </c>
      <c r="B12" s="32">
        <v>1</v>
      </c>
      <c r="C12" s="32">
        <f t="shared" si="0"/>
        <v>8</v>
      </c>
      <c r="D12" s="19">
        <v>202400989</v>
      </c>
      <c r="E12">
        <v>32</v>
      </c>
      <c r="F12" s="33">
        <f>Tabela1[[#This Row],[Total de jovens na turma ]]*3</f>
        <v>24</v>
      </c>
      <c r="G12" s="39">
        <f t="shared" si="2"/>
        <v>1</v>
      </c>
      <c r="H12" s="39">
        <f t="shared" si="1"/>
        <v>0.25</v>
      </c>
      <c r="I12" s="39">
        <f>30/24</f>
        <v>1.25</v>
      </c>
      <c r="J12" s="39">
        <v>1.25</v>
      </c>
      <c r="K12" s="39"/>
      <c r="L12" s="197"/>
      <c r="M12" s="198"/>
      <c r="N12" s="198"/>
      <c r="O12" s="198"/>
      <c r="P12" s="198"/>
      <c r="Q12" s="198"/>
      <c r="R12" s="198"/>
    </row>
    <row r="13" spans="1:18">
      <c r="A13" s="32">
        <v>202400448</v>
      </c>
      <c r="B13" s="32">
        <v>1</v>
      </c>
      <c r="C13" s="32">
        <f t="shared" si="0"/>
        <v>1</v>
      </c>
      <c r="D13" s="18">
        <v>202400989</v>
      </c>
      <c r="E13">
        <v>32</v>
      </c>
      <c r="F13" s="33">
        <f>Tabela1[[#This Row],[Total de jovens na turma ]]*3</f>
        <v>3</v>
      </c>
      <c r="G13" s="39">
        <f t="shared" si="2"/>
        <v>0.125</v>
      </c>
      <c r="H13" s="39">
        <f t="shared" si="1"/>
        <v>0.25</v>
      </c>
      <c r="I13" s="39">
        <f>10/24</f>
        <v>0.41666666666666669</v>
      </c>
      <c r="J13" s="39">
        <v>0.41666666666666669</v>
      </c>
      <c r="K13" s="39"/>
      <c r="L13" s="197"/>
      <c r="M13" s="198"/>
      <c r="N13" s="198"/>
      <c r="O13" s="198"/>
      <c r="P13" s="198"/>
      <c r="Q13" s="198"/>
      <c r="R13" s="198"/>
    </row>
    <row r="14" spans="1:18">
      <c r="A14" s="32">
        <v>202500029</v>
      </c>
      <c r="B14" s="32">
        <v>1</v>
      </c>
      <c r="C14" s="32">
        <f t="shared" si="0"/>
        <v>31</v>
      </c>
      <c r="D14" s="19">
        <v>202400988</v>
      </c>
      <c r="E14">
        <v>37</v>
      </c>
      <c r="F14" s="33">
        <f>Tabela1[[#This Row],[Total de jovens na turma ]]*3</f>
        <v>93</v>
      </c>
      <c r="G14" s="39">
        <f t="shared" si="2"/>
        <v>3.875</v>
      </c>
      <c r="H14" s="39">
        <f t="shared" si="1"/>
        <v>0.25</v>
      </c>
      <c r="I14" s="39">
        <f>100/24</f>
        <v>4.166666666666667</v>
      </c>
      <c r="J14" s="39">
        <v>4.166666666666667</v>
      </c>
      <c r="K14" s="39"/>
      <c r="L14" s="197"/>
      <c r="M14" s="198"/>
      <c r="N14" s="198"/>
      <c r="O14" s="198"/>
      <c r="P14" s="198"/>
      <c r="Q14" s="198"/>
      <c r="R14" s="198"/>
    </row>
    <row r="15" spans="1:18">
      <c r="A15" s="32">
        <v>202500030</v>
      </c>
      <c r="B15" s="32">
        <v>18</v>
      </c>
      <c r="C15" s="32">
        <f t="shared" si="0"/>
        <v>31</v>
      </c>
      <c r="D15" s="20">
        <v>202400988</v>
      </c>
      <c r="E15">
        <v>37</v>
      </c>
      <c r="F15" s="33">
        <f>Tabela1[[#This Row],[Total de jovens na turma ]]*3</f>
        <v>93</v>
      </c>
      <c r="G15" s="39">
        <f t="shared" si="2"/>
        <v>3.875</v>
      </c>
      <c r="H15" s="39">
        <f t="shared" si="1"/>
        <v>0.25</v>
      </c>
      <c r="I15" s="39">
        <f>100/24</f>
        <v>4.166666666666667</v>
      </c>
      <c r="J15" s="39">
        <v>4.166666666666667</v>
      </c>
      <c r="K15" s="39"/>
      <c r="L15" s="197"/>
      <c r="M15" s="198"/>
      <c r="N15" s="198"/>
      <c r="O15" s="198"/>
      <c r="P15" s="198"/>
      <c r="Q15" s="198"/>
      <c r="R15" s="198"/>
    </row>
    <row r="16" spans="1:18">
      <c r="A16" s="32">
        <v>202500031</v>
      </c>
      <c r="B16" s="32">
        <v>10</v>
      </c>
      <c r="C16" s="32">
        <f t="shared" si="0"/>
        <v>26</v>
      </c>
      <c r="D16" s="19">
        <v>202400988</v>
      </c>
      <c r="E16">
        <v>37</v>
      </c>
      <c r="F16" s="33">
        <f>Tabela1[[#This Row],[Total de jovens na turma ]]*3</f>
        <v>78</v>
      </c>
      <c r="G16" s="39">
        <f t="shared" si="2"/>
        <v>3.25</v>
      </c>
      <c r="H16" s="39">
        <f t="shared" si="1"/>
        <v>0.25</v>
      </c>
      <c r="I16" s="39">
        <f>90/24</f>
        <v>3.75</v>
      </c>
      <c r="J16" s="39">
        <v>3.75</v>
      </c>
      <c r="K16" s="39"/>
      <c r="L16" s="197"/>
      <c r="M16" s="198"/>
      <c r="N16" s="198"/>
      <c r="O16" s="198"/>
      <c r="P16" s="198"/>
      <c r="Q16" s="198"/>
      <c r="R16" s="198"/>
    </row>
    <row r="17" spans="1:18">
      <c r="A17" s="32">
        <v>202500034</v>
      </c>
      <c r="B17" s="32">
        <v>24</v>
      </c>
      <c r="C17" s="32">
        <f t="shared" si="0"/>
        <v>41</v>
      </c>
      <c r="D17" s="20">
        <v>202400988</v>
      </c>
      <c r="E17">
        <v>37</v>
      </c>
      <c r="F17" s="33">
        <f>Tabela1[[#This Row],[Total de jovens na turma ]]*3</f>
        <v>123</v>
      </c>
      <c r="G17" s="39">
        <f t="shared" si="2"/>
        <v>5.125</v>
      </c>
      <c r="H17" s="39">
        <f t="shared" si="1"/>
        <v>0.25</v>
      </c>
      <c r="I17" s="39">
        <f>130/24</f>
        <v>5.416666666666667</v>
      </c>
      <c r="J17" s="39">
        <v>5.416666666666667</v>
      </c>
      <c r="K17" s="39"/>
      <c r="L17" s="197"/>
      <c r="M17" s="198"/>
      <c r="N17" s="198"/>
      <c r="O17" s="198"/>
      <c r="P17" s="198"/>
      <c r="Q17" s="198"/>
      <c r="R17" s="198"/>
    </row>
    <row r="18" spans="1:18">
      <c r="A18" s="32">
        <v>202500118</v>
      </c>
      <c r="B18" s="32">
        <v>8</v>
      </c>
      <c r="C18" s="32">
        <f t="shared" si="0"/>
        <v>30</v>
      </c>
      <c r="D18" s="19">
        <v>202400988</v>
      </c>
      <c r="E18">
        <v>37</v>
      </c>
      <c r="F18" s="33">
        <f>Tabela1[[#This Row],[Total de jovens na turma ]]*3</f>
        <v>90</v>
      </c>
      <c r="G18" s="39">
        <f t="shared" si="2"/>
        <v>3.75</v>
      </c>
      <c r="H18" s="39">
        <f t="shared" si="1"/>
        <v>0.25</v>
      </c>
      <c r="I18" s="39">
        <f>100/24</f>
        <v>4.166666666666667</v>
      </c>
      <c r="J18" s="39">
        <v>4.166666666666667</v>
      </c>
      <c r="K18" s="39"/>
    </row>
    <row r="19" spans="1:18">
      <c r="A19" s="32">
        <v>202500119</v>
      </c>
      <c r="B19" s="32">
        <v>19</v>
      </c>
      <c r="C19" s="32">
        <f t="shared" si="0"/>
        <v>25</v>
      </c>
      <c r="D19" s="18">
        <v>202400988</v>
      </c>
      <c r="E19">
        <v>37</v>
      </c>
      <c r="F19" s="33">
        <f>Tabela1[[#This Row],[Total de jovens na turma ]]*3</f>
        <v>75</v>
      </c>
      <c r="G19" s="39">
        <f t="shared" si="2"/>
        <v>3.125</v>
      </c>
      <c r="H19" s="39">
        <f t="shared" si="1"/>
        <v>0.25</v>
      </c>
      <c r="I19" s="39">
        <f>90/24</f>
        <v>3.75</v>
      </c>
      <c r="J19" s="39">
        <v>3.75</v>
      </c>
      <c r="K19" s="39"/>
    </row>
    <row r="20" spans="1:18">
      <c r="A20" s="32">
        <v>202500120</v>
      </c>
      <c r="B20" s="32">
        <v>7</v>
      </c>
      <c r="C20" s="32">
        <f t="shared" si="0"/>
        <v>38</v>
      </c>
      <c r="D20" s="19">
        <v>202400988</v>
      </c>
      <c r="E20">
        <v>37</v>
      </c>
      <c r="F20" s="33">
        <f>Tabela1[[#This Row],[Total de jovens na turma ]]*3</f>
        <v>114</v>
      </c>
      <c r="G20" s="39">
        <f t="shared" si="2"/>
        <v>4.75</v>
      </c>
      <c r="H20" s="39">
        <f t="shared" si="1"/>
        <v>0.25</v>
      </c>
      <c r="I20" s="39">
        <f>120/24</f>
        <v>5</v>
      </c>
      <c r="J20" s="39">
        <v>5</v>
      </c>
      <c r="K20" s="39"/>
    </row>
    <row r="21" spans="1:18">
      <c r="A21" s="32">
        <v>202500121</v>
      </c>
      <c r="B21" s="32">
        <v>10</v>
      </c>
      <c r="C21" s="32">
        <f t="shared" si="0"/>
        <v>26</v>
      </c>
      <c r="D21" s="18">
        <v>202400988</v>
      </c>
      <c r="E21">
        <v>37</v>
      </c>
      <c r="F21" s="33">
        <f>Tabela1[[#This Row],[Total de jovens na turma ]]*3</f>
        <v>78</v>
      </c>
      <c r="G21" s="39">
        <f t="shared" si="2"/>
        <v>3.25</v>
      </c>
      <c r="H21" s="39">
        <f t="shared" si="1"/>
        <v>0.25</v>
      </c>
      <c r="I21" s="39">
        <f>90/24</f>
        <v>3.75</v>
      </c>
      <c r="J21" s="39">
        <v>3.75</v>
      </c>
      <c r="K21" s="39"/>
    </row>
    <row r="22" spans="1:18">
      <c r="A22" s="32">
        <v>202500127</v>
      </c>
      <c r="B22" s="32">
        <v>24</v>
      </c>
      <c r="C22" s="32">
        <f t="shared" si="0"/>
        <v>43</v>
      </c>
      <c r="D22" s="19">
        <v>202400988</v>
      </c>
      <c r="E22">
        <v>37</v>
      </c>
      <c r="F22" s="33">
        <f>Tabela1[[#This Row],[Total de jovens na turma ]]*3</f>
        <v>129</v>
      </c>
      <c r="G22" s="39">
        <f t="shared" si="2"/>
        <v>5.375</v>
      </c>
      <c r="H22" s="39">
        <f t="shared" si="1"/>
        <v>0.25</v>
      </c>
      <c r="I22" s="39">
        <f>140/24</f>
        <v>5.833333333333333</v>
      </c>
      <c r="J22" s="39">
        <v>5.833333333333333</v>
      </c>
      <c r="K22" s="39"/>
    </row>
    <row r="23" spans="1:18">
      <c r="A23" s="32">
        <v>202500132</v>
      </c>
      <c r="B23" s="32">
        <v>23</v>
      </c>
      <c r="C23" s="32">
        <f t="shared" si="0"/>
        <v>29</v>
      </c>
      <c r="D23" s="18">
        <v>202400988</v>
      </c>
      <c r="E23">
        <v>37</v>
      </c>
      <c r="F23" s="33">
        <f>Tabela1[[#This Row],[Total de jovens na turma ]]*3</f>
        <v>87</v>
      </c>
      <c r="G23" s="39">
        <f t="shared" si="2"/>
        <v>3.625</v>
      </c>
      <c r="H23" s="39">
        <f t="shared" si="1"/>
        <v>0.25</v>
      </c>
      <c r="I23" s="39">
        <f>100/24</f>
        <v>4.166666666666667</v>
      </c>
      <c r="J23" s="39">
        <v>4.166666666666667</v>
      </c>
      <c r="K23" s="39"/>
    </row>
    <row r="24" spans="1:18">
      <c r="A24" s="32">
        <v>202500298</v>
      </c>
      <c r="B24" s="32">
        <v>22</v>
      </c>
      <c r="C24" s="32">
        <f t="shared" si="0"/>
        <v>25</v>
      </c>
      <c r="D24" s="19">
        <v>202400988</v>
      </c>
      <c r="E24">
        <v>37</v>
      </c>
      <c r="F24" s="33">
        <f>Tabela1[[#This Row],[Total de jovens na turma ]]*3</f>
        <v>75</v>
      </c>
      <c r="G24" s="39">
        <f t="shared" si="2"/>
        <v>3.125</v>
      </c>
      <c r="H24" s="39">
        <f t="shared" si="1"/>
        <v>0.25</v>
      </c>
      <c r="I24" s="39">
        <f>90/24</f>
        <v>3.75</v>
      </c>
      <c r="J24" s="39">
        <v>3.75</v>
      </c>
      <c r="K24" s="39"/>
    </row>
    <row r="25" spans="1:18">
      <c r="A25" s="32">
        <v>202500357</v>
      </c>
      <c r="B25" s="32">
        <v>15</v>
      </c>
      <c r="C25" s="32">
        <f t="shared" si="0"/>
        <v>31</v>
      </c>
      <c r="D25" s="18">
        <v>202400988</v>
      </c>
      <c r="E25">
        <v>37</v>
      </c>
      <c r="F25" s="33">
        <f>Tabela1[[#This Row],[Total de jovens na turma ]]*3</f>
        <v>93</v>
      </c>
      <c r="G25" s="39">
        <f t="shared" si="2"/>
        <v>3.875</v>
      </c>
      <c r="H25" s="39">
        <f t="shared" si="1"/>
        <v>0.25</v>
      </c>
      <c r="I25" s="39">
        <f>100/24</f>
        <v>4.166666666666667</v>
      </c>
      <c r="J25" s="39">
        <v>4.166666666666667</v>
      </c>
      <c r="K25" s="39"/>
    </row>
    <row r="26" spans="1:18">
      <c r="A26" s="32">
        <v>202500358</v>
      </c>
      <c r="B26" s="32">
        <v>23</v>
      </c>
      <c r="C26" s="32">
        <f t="shared" si="0"/>
        <v>30</v>
      </c>
      <c r="D26" s="19">
        <v>202400988</v>
      </c>
      <c r="E26">
        <v>37</v>
      </c>
      <c r="F26" s="33">
        <f>Tabela1[[#This Row],[Total de jovens na turma ]]*3</f>
        <v>90</v>
      </c>
      <c r="G26" s="39">
        <f t="shared" si="2"/>
        <v>3.75</v>
      </c>
      <c r="H26" s="39">
        <f t="shared" si="1"/>
        <v>0.25</v>
      </c>
      <c r="I26" s="39">
        <f>100/24</f>
        <v>4.166666666666667</v>
      </c>
      <c r="J26" s="39">
        <v>4.166666666666667</v>
      </c>
      <c r="K26" s="39"/>
    </row>
    <row r="27" spans="1:18">
      <c r="A27" s="32">
        <v>202500379</v>
      </c>
      <c r="B27" s="32">
        <v>27</v>
      </c>
      <c r="C27" s="32">
        <f t="shared" si="0"/>
        <v>35</v>
      </c>
      <c r="D27" s="18">
        <v>202400988</v>
      </c>
      <c r="E27">
        <v>37</v>
      </c>
      <c r="F27" s="33">
        <f>Tabela1[[#This Row],[Total de jovens na turma ]]*3</f>
        <v>105</v>
      </c>
      <c r="G27" s="39">
        <f t="shared" si="2"/>
        <v>4.375</v>
      </c>
      <c r="H27" s="39">
        <f t="shared" si="1"/>
        <v>0.25</v>
      </c>
      <c r="I27" s="39">
        <f>115/24</f>
        <v>4.791666666666667</v>
      </c>
      <c r="J27" s="39">
        <v>4.791666666666667</v>
      </c>
      <c r="K27" s="39"/>
    </row>
    <row r="28" spans="1:18">
      <c r="A28" s="32">
        <v>202500631</v>
      </c>
      <c r="B28" s="32">
        <v>20</v>
      </c>
      <c r="C28" s="32">
        <f t="shared" si="0"/>
        <v>33</v>
      </c>
      <c r="D28" s="19">
        <v>202400988</v>
      </c>
      <c r="E28">
        <v>37</v>
      </c>
      <c r="F28" s="33">
        <f>Tabela1[[#This Row],[Total de jovens na turma ]]*3</f>
        <v>99</v>
      </c>
      <c r="G28" s="39">
        <f t="shared" si="2"/>
        <v>4.125</v>
      </c>
      <c r="H28" s="39">
        <f t="shared" si="1"/>
        <v>0.25</v>
      </c>
      <c r="I28" s="39">
        <f>110/24</f>
        <v>4.583333333333333</v>
      </c>
      <c r="J28" s="39">
        <v>4.583333333333333</v>
      </c>
      <c r="K28" s="39"/>
    </row>
    <row r="29" spans="1:18">
      <c r="A29" s="32">
        <v>202500519</v>
      </c>
      <c r="B29" s="32">
        <v>28</v>
      </c>
      <c r="C29" s="32">
        <f t="shared" si="0"/>
        <v>38</v>
      </c>
      <c r="D29" s="18">
        <v>202400988</v>
      </c>
      <c r="E29">
        <v>37</v>
      </c>
      <c r="F29" s="33">
        <f>Tabela1[[#This Row],[Total de jovens na turma ]]*3</f>
        <v>114</v>
      </c>
      <c r="G29" s="39">
        <f t="shared" si="2"/>
        <v>4.75</v>
      </c>
      <c r="H29" s="39">
        <f t="shared" si="1"/>
        <v>0.25</v>
      </c>
      <c r="I29" s="39">
        <f>120/24</f>
        <v>5</v>
      </c>
      <c r="J29" s="39">
        <v>5</v>
      </c>
      <c r="K29" s="39"/>
    </row>
    <row r="30" spans="1:18">
      <c r="A30" s="32">
        <v>202500520</v>
      </c>
      <c r="B30" s="32">
        <v>22</v>
      </c>
      <c r="C30" s="32">
        <f t="shared" si="0"/>
        <v>30</v>
      </c>
      <c r="D30" s="19">
        <v>202400988</v>
      </c>
      <c r="E30">
        <v>37</v>
      </c>
      <c r="F30" s="33">
        <f>Tabela1[[#This Row],[Total de jovens na turma ]]*3</f>
        <v>90</v>
      </c>
      <c r="G30" s="39">
        <f t="shared" si="2"/>
        <v>3.75</v>
      </c>
      <c r="H30" s="39">
        <f t="shared" si="1"/>
        <v>0.25</v>
      </c>
      <c r="I30" s="39">
        <f>100/24</f>
        <v>4.166666666666667</v>
      </c>
      <c r="J30" s="39">
        <v>4.166666666666667</v>
      </c>
      <c r="K30" s="39"/>
    </row>
    <row r="31" spans="1:18">
      <c r="A31" s="32">
        <v>202500521</v>
      </c>
      <c r="B31" s="32">
        <v>7</v>
      </c>
      <c r="C31" s="32">
        <f t="shared" si="0"/>
        <v>27</v>
      </c>
      <c r="D31" s="18">
        <v>202400988</v>
      </c>
      <c r="E31">
        <v>37</v>
      </c>
      <c r="F31" s="33">
        <f>Tabela1[[#This Row],[Total de jovens na turma ]]*3</f>
        <v>81</v>
      </c>
      <c r="G31" s="39">
        <f t="shared" si="2"/>
        <v>3.375</v>
      </c>
      <c r="H31" s="39">
        <f t="shared" si="1"/>
        <v>0.25</v>
      </c>
      <c r="I31" s="39">
        <f>90/24</f>
        <v>3.75</v>
      </c>
      <c r="J31" s="39">
        <v>3.75</v>
      </c>
      <c r="K31" s="39"/>
    </row>
    <row r="32" spans="1:18">
      <c r="A32" s="32">
        <v>202500867</v>
      </c>
      <c r="B32" s="32">
        <v>31</v>
      </c>
      <c r="C32" s="32">
        <f t="shared" si="0"/>
        <v>32</v>
      </c>
      <c r="D32" s="19">
        <v>202400988</v>
      </c>
      <c r="E32">
        <v>37</v>
      </c>
      <c r="F32" s="33">
        <f>Tabela1[[#This Row],[Total de jovens na turma ]]*3</f>
        <v>96</v>
      </c>
      <c r="G32" s="39">
        <f t="shared" si="2"/>
        <v>4</v>
      </c>
      <c r="H32" s="39">
        <f t="shared" si="1"/>
        <v>0.25</v>
      </c>
      <c r="I32" s="39">
        <f>110/24</f>
        <v>4.583333333333333</v>
      </c>
      <c r="J32" s="39">
        <v>4.583333333333333</v>
      </c>
      <c r="K32" s="39"/>
    </row>
    <row r="33" spans="1:11">
      <c r="A33" s="32">
        <v>202500866</v>
      </c>
      <c r="B33" s="32">
        <v>13</v>
      </c>
      <c r="C33" s="32">
        <f t="shared" si="0"/>
        <v>41</v>
      </c>
      <c r="D33" s="18">
        <v>202400988</v>
      </c>
      <c r="E33">
        <v>37</v>
      </c>
      <c r="F33" s="33">
        <f>Tabela1[[#This Row],[Total de jovens na turma ]]*3</f>
        <v>123</v>
      </c>
      <c r="G33" s="39">
        <f t="shared" si="2"/>
        <v>5.125</v>
      </c>
      <c r="H33" s="39">
        <f t="shared" si="1"/>
        <v>0.25</v>
      </c>
      <c r="I33" s="39">
        <f>130/24</f>
        <v>5.416666666666667</v>
      </c>
      <c r="J33" s="39">
        <v>5.416666666666667</v>
      </c>
      <c r="K33" s="39"/>
    </row>
    <row r="34" spans="1:11">
      <c r="A34" s="32">
        <v>202500869</v>
      </c>
      <c r="B34" s="32">
        <v>5</v>
      </c>
      <c r="C34" s="32">
        <v>31</v>
      </c>
      <c r="D34" s="19">
        <v>202400988</v>
      </c>
      <c r="E34">
        <v>37</v>
      </c>
      <c r="F34" s="33">
        <f>Tabela1[[#This Row],[Total de jovens na turma ]]*3</f>
        <v>93</v>
      </c>
      <c r="G34" s="39">
        <f t="shared" si="2"/>
        <v>3.875</v>
      </c>
      <c r="H34" s="39">
        <f t="shared" si="1"/>
        <v>0.25</v>
      </c>
      <c r="I34" s="39">
        <f>50/24</f>
        <v>2.0833333333333335</v>
      </c>
      <c r="J34" s="39">
        <v>4.166666666666667</v>
      </c>
      <c r="K34" s="39"/>
    </row>
    <row r="35" spans="1:11">
      <c r="A35" s="32">
        <v>202500868</v>
      </c>
      <c r="B35" s="32">
        <v>11</v>
      </c>
      <c r="C35" s="32">
        <f t="shared" si="0"/>
        <v>38</v>
      </c>
      <c r="D35" s="18">
        <v>202400988</v>
      </c>
      <c r="E35">
        <v>37</v>
      </c>
      <c r="F35" s="33">
        <f>Tabela1[[#This Row],[Total de jovens na turma ]]*3</f>
        <v>114</v>
      </c>
      <c r="G35" s="39">
        <f t="shared" si="2"/>
        <v>4.75</v>
      </c>
      <c r="H35" s="39">
        <f t="shared" si="1"/>
        <v>0.25</v>
      </c>
      <c r="I35" s="39">
        <f>120/24</f>
        <v>5</v>
      </c>
      <c r="J35" s="39">
        <v>5</v>
      </c>
      <c r="K35" s="39"/>
    </row>
    <row r="36" spans="1:11" hidden="1">
      <c r="A36" s="23"/>
      <c r="B36" s="38"/>
      <c r="C36" s="33" t="e">
        <f t="shared" si="0"/>
        <v>#N/A</v>
      </c>
      <c r="D36" s="19">
        <v>202400988</v>
      </c>
      <c r="E36">
        <v>37</v>
      </c>
      <c r="F36" t="e">
        <f>Tabela1[[#This Row],[Total de jovens na turma ]]*3</f>
        <v>#N/A</v>
      </c>
      <c r="G36" s="46" t="e">
        <f t="shared" si="2"/>
        <v>#N/A</v>
      </c>
      <c r="H36" s="40">
        <v>6</v>
      </c>
    </row>
    <row r="37" spans="1:11" hidden="1">
      <c r="A37" s="32"/>
      <c r="B37" s="32"/>
      <c r="C37" s="33" t="e">
        <f t="shared" si="0"/>
        <v>#N/A</v>
      </c>
      <c r="D37" s="18">
        <v>202400988</v>
      </c>
      <c r="E37">
        <v>37</v>
      </c>
      <c r="F37" t="e">
        <f>Tabela1[[#This Row],[Total de jovens na turma ]]*3</f>
        <v>#N/A</v>
      </c>
      <c r="G37" s="37" t="e">
        <f t="shared" si="2"/>
        <v>#N/A</v>
      </c>
      <c r="H37" s="24">
        <v>6</v>
      </c>
    </row>
    <row r="38" spans="1:11" hidden="1">
      <c r="A38" s="32"/>
      <c r="B38" s="32"/>
      <c r="C38" s="33" t="e">
        <f t="shared" si="0"/>
        <v>#N/A</v>
      </c>
      <c r="D38" s="19">
        <v>202400988</v>
      </c>
      <c r="E38">
        <v>37</v>
      </c>
      <c r="F38" t="e">
        <f>Tabela1[[#This Row],[Total de jovens na turma ]]*3</f>
        <v>#N/A</v>
      </c>
      <c r="G38" s="37" t="e">
        <f t="shared" si="2"/>
        <v>#N/A</v>
      </c>
      <c r="H38" s="24">
        <v>6</v>
      </c>
    </row>
    <row r="39" spans="1:11" hidden="1">
      <c r="A39" s="32"/>
      <c r="B39" s="32"/>
      <c r="C39" s="33" t="e">
        <f t="shared" si="0"/>
        <v>#N/A</v>
      </c>
      <c r="D39" s="18">
        <v>202400988</v>
      </c>
      <c r="E39">
        <v>37</v>
      </c>
      <c r="F39" t="e">
        <f>Tabela1[[#This Row],[Total de jovens na turma ]]*3</f>
        <v>#N/A</v>
      </c>
      <c r="G39" s="37" t="e">
        <f t="shared" si="2"/>
        <v>#N/A</v>
      </c>
      <c r="H39" s="24">
        <v>6</v>
      </c>
    </row>
    <row r="40" spans="1:11" hidden="1">
      <c r="A40" s="32"/>
      <c r="B40" s="32"/>
      <c r="C40" s="33" t="e">
        <f t="shared" si="0"/>
        <v>#N/A</v>
      </c>
      <c r="D40" s="19">
        <v>202400988</v>
      </c>
      <c r="E40">
        <v>37</v>
      </c>
      <c r="F40" t="e">
        <f>Tabela1[[#This Row],[Total de jovens na turma ]]*3</f>
        <v>#N/A</v>
      </c>
      <c r="G40" s="37" t="e">
        <f t="shared" si="2"/>
        <v>#N/A</v>
      </c>
      <c r="H40" s="24">
        <v>6</v>
      </c>
    </row>
    <row r="41" spans="1:11" hidden="1">
      <c r="A41" s="32"/>
      <c r="B41" s="32"/>
      <c r="C41" s="33" t="e">
        <f t="shared" si="0"/>
        <v>#N/A</v>
      </c>
      <c r="D41" s="18">
        <v>202400988</v>
      </c>
      <c r="E41">
        <v>37</v>
      </c>
      <c r="F41" t="e">
        <f>Tabela1[[#This Row],[Total de jovens na turma ]]*3</f>
        <v>#N/A</v>
      </c>
      <c r="G41" s="37" t="e">
        <f t="shared" si="2"/>
        <v>#N/A</v>
      </c>
      <c r="H41" s="24">
        <v>6</v>
      </c>
    </row>
    <row r="42" spans="1:11" hidden="1">
      <c r="A42" s="32"/>
      <c r="B42" s="32"/>
      <c r="C42" s="33" t="e">
        <f t="shared" si="0"/>
        <v>#N/A</v>
      </c>
      <c r="D42" s="19">
        <v>202400988</v>
      </c>
      <c r="E42">
        <v>37</v>
      </c>
      <c r="F42" t="e">
        <f>Tabela1[[#This Row],[Total de jovens na turma ]]*3</f>
        <v>#N/A</v>
      </c>
      <c r="G42" s="37" t="e">
        <f t="shared" si="2"/>
        <v>#N/A</v>
      </c>
      <c r="H42" s="24">
        <v>6</v>
      </c>
    </row>
    <row r="43" spans="1:11" hidden="1">
      <c r="A43" s="32"/>
      <c r="B43" s="32"/>
      <c r="C43" s="33" t="e">
        <f t="shared" si="0"/>
        <v>#N/A</v>
      </c>
      <c r="D43" s="18">
        <v>202400989</v>
      </c>
      <c r="E43">
        <v>32</v>
      </c>
      <c r="F43" t="e">
        <f>Tabela1[[#This Row],[Total de jovens na turma ]]*3</f>
        <v>#N/A</v>
      </c>
      <c r="G43" s="37" t="e">
        <f t="shared" si="2"/>
        <v>#N/A</v>
      </c>
      <c r="H43" s="24">
        <v>6</v>
      </c>
    </row>
    <row r="44" spans="1:11" hidden="1">
      <c r="A44" s="32"/>
      <c r="B44" s="32"/>
      <c r="C44" s="33" t="e">
        <f t="shared" si="0"/>
        <v>#N/A</v>
      </c>
      <c r="D44" s="19">
        <v>202400989</v>
      </c>
      <c r="E44">
        <v>32</v>
      </c>
      <c r="F44" t="e">
        <f>Tabela1[[#This Row],[Total de jovens na turma ]]*3</f>
        <v>#N/A</v>
      </c>
      <c r="G44" s="37" t="e">
        <f t="shared" si="2"/>
        <v>#N/A</v>
      </c>
      <c r="H44" s="24">
        <v>6</v>
      </c>
    </row>
    <row r="45" spans="1:11" hidden="1">
      <c r="A45" s="32"/>
      <c r="B45" s="32"/>
      <c r="C45" s="33" t="e">
        <f t="shared" si="0"/>
        <v>#N/A</v>
      </c>
      <c r="D45" s="18">
        <v>202400988</v>
      </c>
      <c r="E45">
        <v>37</v>
      </c>
      <c r="F45" t="e">
        <f>Tabela1[[#This Row],[Total de jovens na turma ]]*3</f>
        <v>#N/A</v>
      </c>
      <c r="G45" s="37" t="e">
        <f t="shared" si="2"/>
        <v>#N/A</v>
      </c>
      <c r="H45" s="24">
        <v>6</v>
      </c>
    </row>
    <row r="46" spans="1:11" hidden="1">
      <c r="A46" s="32"/>
      <c r="B46" s="32"/>
      <c r="C46" s="33" t="e">
        <f t="shared" si="0"/>
        <v>#N/A</v>
      </c>
      <c r="D46" s="19">
        <v>202400989</v>
      </c>
      <c r="E46">
        <v>32</v>
      </c>
      <c r="F46" t="e">
        <f>Tabela1[[#This Row],[Total de jovens na turma ]]*3</f>
        <v>#N/A</v>
      </c>
      <c r="G46" s="37" t="e">
        <f t="shared" si="2"/>
        <v>#N/A</v>
      </c>
      <c r="H46" s="24">
        <v>6</v>
      </c>
    </row>
    <row r="47" spans="1:11" hidden="1">
      <c r="A47" s="32"/>
      <c r="B47" s="32"/>
      <c r="C47" s="33" t="e">
        <f t="shared" si="0"/>
        <v>#N/A</v>
      </c>
      <c r="D47" s="18">
        <v>202400989</v>
      </c>
      <c r="E47">
        <v>32</v>
      </c>
      <c r="F47" t="e">
        <f>Tabela1[[#This Row],[Total de jovens na turma ]]*3</f>
        <v>#N/A</v>
      </c>
      <c r="G47" s="37" t="e">
        <f t="shared" si="2"/>
        <v>#N/A</v>
      </c>
      <c r="H47" s="24">
        <v>6</v>
      </c>
    </row>
    <row r="48" spans="1:11" hidden="1">
      <c r="A48" s="32"/>
      <c r="B48" s="32"/>
      <c r="C48" s="33" t="e">
        <f t="shared" si="0"/>
        <v>#N/A</v>
      </c>
      <c r="D48" s="19">
        <v>202400989</v>
      </c>
      <c r="E48">
        <v>32</v>
      </c>
      <c r="F48" t="e">
        <f>Tabela1[[#This Row],[Total de jovens na turma ]]*3</f>
        <v>#N/A</v>
      </c>
      <c r="G48" s="37" t="e">
        <f t="shared" si="2"/>
        <v>#N/A</v>
      </c>
      <c r="H48" s="24">
        <v>6</v>
      </c>
    </row>
    <row r="49" spans="1:8" hidden="1">
      <c r="A49" s="32"/>
      <c r="B49" s="32"/>
      <c r="C49" s="33" t="e">
        <f t="shared" si="0"/>
        <v>#N/A</v>
      </c>
      <c r="D49" s="18">
        <v>202400988</v>
      </c>
      <c r="E49">
        <v>37</v>
      </c>
      <c r="F49" t="e">
        <f>Tabela1[[#This Row],[Total de jovens na turma ]]*3</f>
        <v>#N/A</v>
      </c>
      <c r="G49" s="37" t="e">
        <f t="shared" si="2"/>
        <v>#N/A</v>
      </c>
      <c r="H49" s="24">
        <v>6</v>
      </c>
    </row>
    <row r="50" spans="1:8" hidden="1">
      <c r="A50" s="32"/>
      <c r="B50" s="32"/>
      <c r="C50" s="33" t="e">
        <f t="shared" si="0"/>
        <v>#N/A</v>
      </c>
      <c r="D50" s="19">
        <v>202400989</v>
      </c>
      <c r="E50">
        <v>32</v>
      </c>
      <c r="F50" t="e">
        <f>Tabela1[[#This Row],[Total de jovens na turma ]]*3</f>
        <v>#N/A</v>
      </c>
      <c r="G50" s="37" t="e">
        <f t="shared" si="2"/>
        <v>#N/A</v>
      </c>
      <c r="H50" s="24">
        <v>6</v>
      </c>
    </row>
    <row r="51" spans="1:8" hidden="1">
      <c r="A51" s="32"/>
      <c r="B51" s="32"/>
      <c r="C51" s="33" t="e">
        <f t="shared" si="0"/>
        <v>#N/A</v>
      </c>
      <c r="D51" s="18">
        <v>202400988</v>
      </c>
      <c r="E51">
        <v>37</v>
      </c>
      <c r="F51" t="e">
        <f>Tabela1[[#This Row],[Total de jovens na turma ]]*3</f>
        <v>#N/A</v>
      </c>
      <c r="G51" s="37" t="e">
        <f t="shared" si="2"/>
        <v>#N/A</v>
      </c>
      <c r="H51" s="24">
        <v>6</v>
      </c>
    </row>
    <row r="52" spans="1:8" hidden="1">
      <c r="A52" s="32"/>
      <c r="B52" s="32"/>
      <c r="C52" s="33" t="e">
        <f t="shared" si="0"/>
        <v>#N/A</v>
      </c>
      <c r="D52" s="19">
        <v>202400989</v>
      </c>
      <c r="E52">
        <v>32</v>
      </c>
      <c r="F52" t="e">
        <f>Tabela1[[#This Row],[Total de jovens na turma ]]*3</f>
        <v>#N/A</v>
      </c>
      <c r="G52" s="37" t="e">
        <f t="shared" si="2"/>
        <v>#N/A</v>
      </c>
      <c r="H52" s="24">
        <v>6</v>
      </c>
    </row>
    <row r="53" spans="1:8" hidden="1">
      <c r="A53" s="32"/>
      <c r="B53" s="32"/>
      <c r="C53" s="33" t="e">
        <f t="shared" si="0"/>
        <v>#N/A</v>
      </c>
      <c r="D53" s="18">
        <v>202400989</v>
      </c>
      <c r="E53">
        <v>32</v>
      </c>
      <c r="F53" t="e">
        <f>Tabela1[[#This Row],[Total de jovens na turma ]]*3</f>
        <v>#N/A</v>
      </c>
      <c r="G53" s="37" t="e">
        <f t="shared" si="2"/>
        <v>#N/A</v>
      </c>
      <c r="H53" s="24">
        <v>6</v>
      </c>
    </row>
    <row r="54" spans="1:8" hidden="1">
      <c r="A54" s="32"/>
      <c r="B54" s="32"/>
      <c r="C54" s="33" t="e">
        <f t="shared" si="0"/>
        <v>#N/A</v>
      </c>
      <c r="D54" s="19">
        <v>202400989</v>
      </c>
      <c r="E54">
        <v>32</v>
      </c>
      <c r="F54" t="e">
        <f>Tabela1[[#This Row],[Total de jovens na turma ]]*3</f>
        <v>#N/A</v>
      </c>
      <c r="G54" s="37" t="e">
        <f t="shared" si="2"/>
        <v>#N/A</v>
      </c>
      <c r="H54" s="24">
        <v>6</v>
      </c>
    </row>
    <row r="55" spans="1:8" hidden="1">
      <c r="A55" s="32"/>
      <c r="B55" s="32"/>
      <c r="C55" s="33" t="e">
        <f t="shared" si="0"/>
        <v>#N/A</v>
      </c>
      <c r="D55" s="18">
        <v>202400988</v>
      </c>
      <c r="E55">
        <v>37</v>
      </c>
      <c r="F55" t="e">
        <f>Tabela1[[#This Row],[Total de jovens na turma ]]*3</f>
        <v>#N/A</v>
      </c>
      <c r="G55" s="37" t="e">
        <f t="shared" si="2"/>
        <v>#N/A</v>
      </c>
      <c r="H55" s="24">
        <v>6</v>
      </c>
    </row>
    <row r="56" spans="1:8" hidden="1">
      <c r="A56" s="32"/>
      <c r="B56" s="32"/>
      <c r="C56" s="33" t="e">
        <f t="shared" si="0"/>
        <v>#N/A</v>
      </c>
      <c r="D56" s="19">
        <v>202400989</v>
      </c>
      <c r="E56">
        <v>32</v>
      </c>
      <c r="F56" t="e">
        <f>Tabela1[[#This Row],[Total de jovens na turma ]]*3</f>
        <v>#N/A</v>
      </c>
      <c r="G56" s="37" t="e">
        <f t="shared" si="2"/>
        <v>#N/A</v>
      </c>
      <c r="H56" s="24">
        <v>6</v>
      </c>
    </row>
    <row r="57" spans="1:8" hidden="1">
      <c r="A57" s="32"/>
      <c r="B57" s="32"/>
      <c r="C57" s="33" t="e">
        <f t="shared" si="0"/>
        <v>#N/A</v>
      </c>
      <c r="D57" s="18">
        <v>202400989</v>
      </c>
      <c r="E57">
        <v>32</v>
      </c>
      <c r="F57" t="e">
        <f>Tabela1[[#This Row],[Total de jovens na turma ]]*3</f>
        <v>#N/A</v>
      </c>
      <c r="G57" s="37" t="e">
        <f t="shared" si="2"/>
        <v>#N/A</v>
      </c>
      <c r="H57" s="24">
        <v>6</v>
      </c>
    </row>
    <row r="58" spans="1:8" hidden="1">
      <c r="A58" s="32"/>
      <c r="B58" s="32"/>
      <c r="C58" s="33" t="e">
        <f t="shared" si="0"/>
        <v>#N/A</v>
      </c>
      <c r="D58" s="19">
        <v>202400989</v>
      </c>
      <c r="E58">
        <v>32</v>
      </c>
      <c r="F58" t="e">
        <f>Tabela1[[#This Row],[Total de jovens na turma ]]*3</f>
        <v>#N/A</v>
      </c>
      <c r="G58" s="37" t="e">
        <f t="shared" si="2"/>
        <v>#N/A</v>
      </c>
      <c r="H58" s="24">
        <v>6</v>
      </c>
    </row>
    <row r="59" spans="1:8" hidden="1">
      <c r="A59" s="32"/>
      <c r="B59" s="32"/>
      <c r="C59" s="33" t="e">
        <f t="shared" si="0"/>
        <v>#N/A</v>
      </c>
      <c r="D59" s="18">
        <v>202400989</v>
      </c>
      <c r="E59">
        <v>32</v>
      </c>
      <c r="F59" t="e">
        <f>Tabela1[[#This Row],[Total de jovens na turma ]]*3</f>
        <v>#N/A</v>
      </c>
      <c r="G59" s="37" t="e">
        <f t="shared" si="2"/>
        <v>#N/A</v>
      </c>
      <c r="H59" s="24">
        <v>6</v>
      </c>
    </row>
    <row r="60" spans="1:8" hidden="1">
      <c r="A60" s="32"/>
      <c r="B60" s="32"/>
      <c r="C60" s="33" t="e">
        <f t="shared" si="0"/>
        <v>#N/A</v>
      </c>
      <c r="D60" s="19">
        <v>202400989</v>
      </c>
      <c r="E60">
        <v>32</v>
      </c>
      <c r="F60" t="e">
        <f>Tabela1[[#This Row],[Total de jovens na turma ]]*3</f>
        <v>#N/A</v>
      </c>
      <c r="G60" s="37" t="e">
        <f t="shared" si="2"/>
        <v>#N/A</v>
      </c>
      <c r="H60" s="24">
        <v>6</v>
      </c>
    </row>
    <row r="61" spans="1:8" hidden="1">
      <c r="A61" s="32"/>
      <c r="B61" s="32"/>
      <c r="C61" s="33" t="e">
        <f t="shared" si="0"/>
        <v>#N/A</v>
      </c>
      <c r="D61" s="18">
        <v>202400989</v>
      </c>
      <c r="E61">
        <v>32</v>
      </c>
      <c r="F61" t="e">
        <f>Tabela1[[#This Row],[Total de jovens na turma ]]*3</f>
        <v>#N/A</v>
      </c>
      <c r="G61" s="37" t="e">
        <f t="shared" si="2"/>
        <v>#N/A</v>
      </c>
      <c r="H61" s="24">
        <v>6</v>
      </c>
    </row>
    <row r="62" spans="1:8" hidden="1">
      <c r="A62" s="32"/>
      <c r="B62" s="32"/>
      <c r="C62" s="33" t="e">
        <f t="shared" si="0"/>
        <v>#N/A</v>
      </c>
      <c r="D62" s="19">
        <v>202400988</v>
      </c>
      <c r="E62">
        <v>37</v>
      </c>
      <c r="F62" t="e">
        <f>Tabela1[[#This Row],[Total de jovens na turma ]]*3</f>
        <v>#N/A</v>
      </c>
      <c r="G62" s="37" t="e">
        <f t="shared" si="2"/>
        <v>#N/A</v>
      </c>
      <c r="H62" s="24">
        <v>6</v>
      </c>
    </row>
    <row r="63" spans="1:8" hidden="1">
      <c r="A63" s="32"/>
      <c r="B63" s="32"/>
      <c r="C63" s="33" t="e">
        <f t="shared" si="0"/>
        <v>#N/A</v>
      </c>
      <c r="D63" s="18">
        <v>202400989</v>
      </c>
      <c r="E63">
        <v>32</v>
      </c>
      <c r="F63" t="e">
        <f>Tabela1[[#This Row],[Total de jovens na turma ]]*3</f>
        <v>#N/A</v>
      </c>
      <c r="G63" s="37" t="e">
        <f t="shared" si="2"/>
        <v>#N/A</v>
      </c>
      <c r="H63" s="24">
        <v>6</v>
      </c>
    </row>
    <row r="64" spans="1:8" hidden="1">
      <c r="A64" s="32"/>
      <c r="B64" s="32"/>
      <c r="C64" s="33" t="e">
        <f t="shared" si="0"/>
        <v>#N/A</v>
      </c>
      <c r="D64" s="19">
        <v>202400989</v>
      </c>
      <c r="E64">
        <v>32</v>
      </c>
      <c r="F64" t="e">
        <f>Tabela1[[#This Row],[Total de jovens na turma ]]*3</f>
        <v>#N/A</v>
      </c>
      <c r="G64" s="37" t="e">
        <f t="shared" si="2"/>
        <v>#N/A</v>
      </c>
      <c r="H64" s="24">
        <v>6</v>
      </c>
    </row>
    <row r="65" spans="1:8" hidden="1">
      <c r="A65" s="32"/>
      <c r="B65" s="32"/>
      <c r="C65" s="33" t="e">
        <f t="shared" si="0"/>
        <v>#N/A</v>
      </c>
      <c r="D65" s="18">
        <v>202400989</v>
      </c>
      <c r="E65">
        <v>32</v>
      </c>
      <c r="F65" t="e">
        <f>Tabela1[[#This Row],[Total de jovens na turma ]]*3</f>
        <v>#N/A</v>
      </c>
      <c r="G65" s="37" t="e">
        <f t="shared" si="2"/>
        <v>#N/A</v>
      </c>
      <c r="H65" s="24">
        <v>6</v>
      </c>
    </row>
    <row r="66" spans="1:8" hidden="1">
      <c r="A66" s="32"/>
      <c r="B66" s="32"/>
      <c r="C66" s="33" t="e">
        <f t="shared" si="0"/>
        <v>#N/A</v>
      </c>
      <c r="D66" s="19">
        <v>202400989</v>
      </c>
      <c r="E66">
        <v>32</v>
      </c>
      <c r="F66" t="e">
        <f>Tabela1[[#This Row],[Total de jovens na turma ]]*3</f>
        <v>#N/A</v>
      </c>
      <c r="G66" s="37" t="e">
        <f t="shared" si="2"/>
        <v>#N/A</v>
      </c>
      <c r="H66" s="24">
        <v>6</v>
      </c>
    </row>
    <row r="67" spans="1:8" hidden="1">
      <c r="A67" s="32"/>
      <c r="B67" s="32"/>
      <c r="C67" s="33" t="e">
        <f t="shared" si="0"/>
        <v>#N/A</v>
      </c>
      <c r="D67" s="18">
        <v>202400988</v>
      </c>
      <c r="E67">
        <v>37</v>
      </c>
      <c r="F67" t="e">
        <f>Tabela1[[#This Row],[Total de jovens na turma ]]*3</f>
        <v>#N/A</v>
      </c>
      <c r="G67" s="37" t="e">
        <f t="shared" si="2"/>
        <v>#N/A</v>
      </c>
      <c r="H67" s="24">
        <v>6</v>
      </c>
    </row>
    <row r="68" spans="1:8" hidden="1">
      <c r="A68" s="32"/>
      <c r="B68" s="32"/>
      <c r="C68" s="33" t="e">
        <f t="shared" si="0"/>
        <v>#N/A</v>
      </c>
      <c r="D68" s="19">
        <v>202400989</v>
      </c>
      <c r="E68">
        <v>32</v>
      </c>
      <c r="F68" t="e">
        <f>Tabela1[[#This Row],[Total de jovens na turma ]]*3</f>
        <v>#N/A</v>
      </c>
      <c r="G68" s="37" t="e">
        <f t="shared" si="2"/>
        <v>#N/A</v>
      </c>
      <c r="H68" s="24">
        <v>6</v>
      </c>
    </row>
    <row r="69" spans="1:8" hidden="1">
      <c r="A69" s="32"/>
      <c r="B69" s="32"/>
      <c r="C69" s="33" t="e">
        <f t="shared" ref="C69:C132" si="3">VLOOKUP(A69,D:E,2,0)</f>
        <v>#N/A</v>
      </c>
      <c r="D69" s="18">
        <v>202400989</v>
      </c>
      <c r="E69">
        <v>32</v>
      </c>
      <c r="F69" t="e">
        <f>Tabela1[[#This Row],[Total de jovens na turma ]]*3</f>
        <v>#N/A</v>
      </c>
      <c r="G69" s="37" t="e">
        <f t="shared" si="2"/>
        <v>#N/A</v>
      </c>
      <c r="H69" s="24">
        <v>6</v>
      </c>
    </row>
    <row r="70" spans="1:8" hidden="1">
      <c r="A70" s="32"/>
      <c r="B70" s="32"/>
      <c r="C70" s="33" t="e">
        <f t="shared" si="3"/>
        <v>#N/A</v>
      </c>
      <c r="D70" s="19">
        <v>202400989</v>
      </c>
      <c r="E70">
        <v>32</v>
      </c>
      <c r="F70" t="e">
        <f>Tabela1[[#This Row],[Total de jovens na turma ]]*3</f>
        <v>#N/A</v>
      </c>
      <c r="G70" s="37" t="e">
        <f t="shared" si="2"/>
        <v>#N/A</v>
      </c>
      <c r="H70" s="24">
        <v>6</v>
      </c>
    </row>
    <row r="71" spans="1:8" hidden="1">
      <c r="A71" s="32"/>
      <c r="B71" s="32"/>
      <c r="C71" s="33" t="e">
        <f t="shared" si="3"/>
        <v>#N/A</v>
      </c>
      <c r="D71" s="18">
        <v>202400988</v>
      </c>
      <c r="E71">
        <v>37</v>
      </c>
      <c r="F71" t="e">
        <f>Tabela1[[#This Row],[Total de jovens na turma ]]*3</f>
        <v>#N/A</v>
      </c>
      <c r="G71" s="37" t="e">
        <f t="shared" ref="G71:G134" si="4">F71/24</f>
        <v>#N/A</v>
      </c>
      <c r="H71" s="24">
        <v>6</v>
      </c>
    </row>
    <row r="72" spans="1:8" hidden="1">
      <c r="A72" s="32"/>
      <c r="B72" s="32"/>
      <c r="C72" s="33" t="e">
        <f t="shared" si="3"/>
        <v>#N/A</v>
      </c>
      <c r="D72" s="19">
        <v>202400989</v>
      </c>
      <c r="E72">
        <v>32</v>
      </c>
      <c r="F72" t="e">
        <f>Tabela1[[#This Row],[Total de jovens na turma ]]*3</f>
        <v>#N/A</v>
      </c>
      <c r="G72" s="37" t="e">
        <f t="shared" si="4"/>
        <v>#N/A</v>
      </c>
      <c r="H72" s="24">
        <v>6</v>
      </c>
    </row>
    <row r="73" spans="1:8" hidden="1">
      <c r="A73" s="32"/>
      <c r="B73" s="32"/>
      <c r="C73" s="33" t="e">
        <f t="shared" si="3"/>
        <v>#N/A</v>
      </c>
      <c r="D73" s="18">
        <v>202400989</v>
      </c>
      <c r="E73">
        <v>32</v>
      </c>
      <c r="F73" t="e">
        <f>Tabela1[[#This Row],[Total de jovens na turma ]]*3</f>
        <v>#N/A</v>
      </c>
      <c r="G73" s="37" t="e">
        <f t="shared" si="4"/>
        <v>#N/A</v>
      </c>
      <c r="H73" s="24">
        <v>6</v>
      </c>
    </row>
    <row r="74" spans="1:8" hidden="1">
      <c r="A74" s="32"/>
      <c r="B74" s="32"/>
      <c r="C74" s="33" t="e">
        <f t="shared" si="3"/>
        <v>#N/A</v>
      </c>
      <c r="D74" s="19">
        <v>202400989</v>
      </c>
      <c r="E74">
        <v>32</v>
      </c>
      <c r="F74" t="e">
        <f>Tabela1[[#This Row],[Total de jovens na turma ]]*3</f>
        <v>#N/A</v>
      </c>
      <c r="G74" s="37" t="e">
        <f t="shared" si="4"/>
        <v>#N/A</v>
      </c>
      <c r="H74" s="24">
        <v>6</v>
      </c>
    </row>
    <row r="75" spans="1:8" hidden="1">
      <c r="A75" s="32"/>
      <c r="B75" s="32"/>
      <c r="C75" s="33" t="e">
        <f t="shared" si="3"/>
        <v>#N/A</v>
      </c>
      <c r="D75" s="18">
        <v>202400989</v>
      </c>
      <c r="E75">
        <v>32</v>
      </c>
      <c r="F75" t="e">
        <f>Tabela1[[#This Row],[Total de jovens na turma ]]*3</f>
        <v>#N/A</v>
      </c>
      <c r="G75" s="37" t="e">
        <f t="shared" si="4"/>
        <v>#N/A</v>
      </c>
      <c r="H75" s="24">
        <v>6</v>
      </c>
    </row>
    <row r="76" spans="1:8" hidden="1">
      <c r="A76" s="32"/>
      <c r="B76" s="32"/>
      <c r="C76" s="33" t="e">
        <f t="shared" si="3"/>
        <v>#N/A</v>
      </c>
      <c r="D76" s="19">
        <v>202400989</v>
      </c>
      <c r="E76">
        <v>32</v>
      </c>
      <c r="F76" t="e">
        <f>Tabela1[[#This Row],[Total de jovens na turma ]]*3</f>
        <v>#N/A</v>
      </c>
      <c r="G76" s="37" t="e">
        <f t="shared" si="4"/>
        <v>#N/A</v>
      </c>
      <c r="H76" s="24">
        <v>6</v>
      </c>
    </row>
    <row r="77" spans="1:8" hidden="1">
      <c r="A77" s="32"/>
      <c r="B77" s="32"/>
      <c r="C77" s="33" t="e">
        <f t="shared" si="3"/>
        <v>#N/A</v>
      </c>
      <c r="D77" s="18">
        <v>202400989</v>
      </c>
      <c r="E77">
        <v>32</v>
      </c>
      <c r="F77" t="e">
        <f>Tabela1[[#This Row],[Total de jovens na turma ]]*3</f>
        <v>#N/A</v>
      </c>
      <c r="G77" s="37" t="e">
        <f t="shared" si="4"/>
        <v>#N/A</v>
      </c>
      <c r="H77" s="24">
        <v>6</v>
      </c>
    </row>
    <row r="78" spans="1:8" hidden="1">
      <c r="A78" s="32"/>
      <c r="B78" s="32"/>
      <c r="C78" s="33" t="e">
        <f t="shared" si="3"/>
        <v>#N/A</v>
      </c>
      <c r="D78" s="19">
        <v>202400989</v>
      </c>
      <c r="E78">
        <v>32</v>
      </c>
      <c r="F78" t="e">
        <f>Tabela1[[#This Row],[Total de jovens na turma ]]*3</f>
        <v>#N/A</v>
      </c>
      <c r="G78" s="37" t="e">
        <f t="shared" si="4"/>
        <v>#N/A</v>
      </c>
      <c r="H78" s="24">
        <v>6</v>
      </c>
    </row>
    <row r="79" spans="1:8" hidden="1">
      <c r="A79" s="32"/>
      <c r="B79" s="32"/>
      <c r="C79" s="33" t="e">
        <f t="shared" si="3"/>
        <v>#N/A</v>
      </c>
      <c r="D79" s="18">
        <v>202400989</v>
      </c>
      <c r="E79">
        <v>32</v>
      </c>
      <c r="F79" t="e">
        <f>Tabela1[[#This Row],[Total de jovens na turma ]]*3</f>
        <v>#N/A</v>
      </c>
      <c r="G79" s="37" t="e">
        <f t="shared" si="4"/>
        <v>#N/A</v>
      </c>
      <c r="H79" s="24">
        <v>6</v>
      </c>
    </row>
    <row r="80" spans="1:8" hidden="1">
      <c r="A80" s="32"/>
      <c r="B80" s="32"/>
      <c r="C80" s="33" t="e">
        <f t="shared" si="3"/>
        <v>#N/A</v>
      </c>
      <c r="D80" s="19">
        <v>202401099</v>
      </c>
      <c r="E80">
        <v>18</v>
      </c>
      <c r="F80" t="e">
        <f>Tabela1[[#This Row],[Total de jovens na turma ]]*3</f>
        <v>#N/A</v>
      </c>
      <c r="G80" s="37" t="e">
        <f t="shared" si="4"/>
        <v>#N/A</v>
      </c>
      <c r="H80" s="24">
        <v>6</v>
      </c>
    </row>
    <row r="81" spans="1:8" hidden="1">
      <c r="A81" s="32"/>
      <c r="B81" s="32"/>
      <c r="C81" s="33" t="e">
        <f t="shared" si="3"/>
        <v>#N/A</v>
      </c>
      <c r="D81" s="18">
        <v>202401099</v>
      </c>
      <c r="E81">
        <v>18</v>
      </c>
      <c r="F81" t="e">
        <f>Tabela1[[#This Row],[Total de jovens na turma ]]*3</f>
        <v>#N/A</v>
      </c>
      <c r="G81" s="37" t="e">
        <f t="shared" si="4"/>
        <v>#N/A</v>
      </c>
      <c r="H81" s="24">
        <v>6</v>
      </c>
    </row>
    <row r="82" spans="1:8" hidden="1">
      <c r="A82" s="32"/>
      <c r="B82" s="32"/>
      <c r="C82" s="33" t="e">
        <f t="shared" si="3"/>
        <v>#N/A</v>
      </c>
      <c r="D82" s="19">
        <v>202401100</v>
      </c>
      <c r="E82">
        <v>27</v>
      </c>
      <c r="F82" t="e">
        <f>Tabela1[[#This Row],[Total de jovens na turma ]]*3</f>
        <v>#N/A</v>
      </c>
      <c r="G82" s="37" t="e">
        <f t="shared" si="4"/>
        <v>#N/A</v>
      </c>
      <c r="H82" s="24">
        <v>6</v>
      </c>
    </row>
    <row r="83" spans="1:8" hidden="1">
      <c r="A83" s="32"/>
      <c r="B83" s="32"/>
      <c r="C83" s="33" t="e">
        <f t="shared" si="3"/>
        <v>#N/A</v>
      </c>
      <c r="D83" s="18">
        <v>202401100</v>
      </c>
      <c r="E83">
        <v>27</v>
      </c>
      <c r="F83" t="e">
        <f>Tabela1[[#This Row],[Total de jovens na turma ]]*3</f>
        <v>#N/A</v>
      </c>
      <c r="G83" s="37" t="e">
        <f t="shared" si="4"/>
        <v>#N/A</v>
      </c>
      <c r="H83" s="24">
        <v>6</v>
      </c>
    </row>
    <row r="84" spans="1:8" hidden="1">
      <c r="A84" s="32"/>
      <c r="B84" s="32"/>
      <c r="C84" s="33" t="e">
        <f t="shared" si="3"/>
        <v>#N/A</v>
      </c>
      <c r="D84" s="19">
        <v>202401100</v>
      </c>
      <c r="E84">
        <v>27</v>
      </c>
      <c r="F84" t="e">
        <f>Tabela1[[#This Row],[Total de jovens na turma ]]*3</f>
        <v>#N/A</v>
      </c>
      <c r="G84" s="37" t="e">
        <f t="shared" si="4"/>
        <v>#N/A</v>
      </c>
      <c r="H84" s="24">
        <v>6</v>
      </c>
    </row>
    <row r="85" spans="1:8" hidden="1">
      <c r="A85" s="32"/>
      <c r="B85" s="32"/>
      <c r="C85" s="33" t="e">
        <f t="shared" si="3"/>
        <v>#N/A</v>
      </c>
      <c r="D85" s="18">
        <v>202401100</v>
      </c>
      <c r="E85">
        <v>27</v>
      </c>
      <c r="F85" t="e">
        <f>Tabela1[[#This Row],[Total de jovens na turma ]]*3</f>
        <v>#N/A</v>
      </c>
      <c r="G85" s="37" t="e">
        <f t="shared" si="4"/>
        <v>#N/A</v>
      </c>
      <c r="H85" s="24">
        <v>6</v>
      </c>
    </row>
    <row r="86" spans="1:8" hidden="1">
      <c r="A86" s="32"/>
      <c r="B86" s="32"/>
      <c r="C86" s="33" t="e">
        <f t="shared" si="3"/>
        <v>#N/A</v>
      </c>
      <c r="D86" s="19">
        <v>202401100</v>
      </c>
      <c r="E86">
        <v>27</v>
      </c>
      <c r="F86" t="e">
        <f>Tabela1[[#This Row],[Total de jovens na turma ]]*3</f>
        <v>#N/A</v>
      </c>
      <c r="G86" s="37" t="e">
        <f t="shared" si="4"/>
        <v>#N/A</v>
      </c>
      <c r="H86" s="24">
        <v>6</v>
      </c>
    </row>
    <row r="87" spans="1:8" hidden="1">
      <c r="A87" s="32"/>
      <c r="B87" s="32"/>
      <c r="C87" s="33" t="e">
        <f t="shared" si="3"/>
        <v>#N/A</v>
      </c>
      <c r="D87" s="18">
        <v>202401099</v>
      </c>
      <c r="E87">
        <v>18</v>
      </c>
      <c r="F87" t="e">
        <f>Tabela1[[#This Row],[Total de jovens na turma ]]*3</f>
        <v>#N/A</v>
      </c>
      <c r="G87" s="37" t="e">
        <f t="shared" si="4"/>
        <v>#N/A</v>
      </c>
      <c r="H87" s="24">
        <v>6</v>
      </c>
    </row>
    <row r="88" spans="1:8" hidden="1">
      <c r="A88" s="32"/>
      <c r="B88" s="32"/>
      <c r="C88" s="33" t="e">
        <f t="shared" si="3"/>
        <v>#N/A</v>
      </c>
      <c r="D88" s="19">
        <v>202401100</v>
      </c>
      <c r="E88">
        <v>27</v>
      </c>
      <c r="F88" t="e">
        <f>Tabela1[[#This Row],[Total de jovens na turma ]]*3</f>
        <v>#N/A</v>
      </c>
      <c r="G88" s="37" t="e">
        <f t="shared" si="4"/>
        <v>#N/A</v>
      </c>
      <c r="H88" s="24">
        <v>6</v>
      </c>
    </row>
    <row r="89" spans="1:8" hidden="1">
      <c r="A89" s="32"/>
      <c r="B89" s="32"/>
      <c r="C89" s="33" t="e">
        <f t="shared" si="3"/>
        <v>#N/A</v>
      </c>
      <c r="D89" s="18">
        <v>202401099</v>
      </c>
      <c r="E89">
        <v>18</v>
      </c>
      <c r="F89" t="e">
        <f>Tabela1[[#This Row],[Total de jovens na turma ]]*3</f>
        <v>#N/A</v>
      </c>
      <c r="G89" s="37" t="e">
        <f t="shared" si="4"/>
        <v>#N/A</v>
      </c>
      <c r="H89" s="24">
        <v>6</v>
      </c>
    </row>
    <row r="90" spans="1:8" hidden="1">
      <c r="A90" s="32"/>
      <c r="B90" s="32"/>
      <c r="C90" s="33" t="e">
        <f t="shared" si="3"/>
        <v>#N/A</v>
      </c>
      <c r="D90" s="19">
        <v>202401099</v>
      </c>
      <c r="E90">
        <v>18</v>
      </c>
      <c r="F90" t="e">
        <f>Tabela1[[#This Row],[Total de jovens na turma ]]*3</f>
        <v>#N/A</v>
      </c>
      <c r="G90" s="37" t="e">
        <f t="shared" si="4"/>
        <v>#N/A</v>
      </c>
      <c r="H90" s="24">
        <v>6</v>
      </c>
    </row>
    <row r="91" spans="1:8" hidden="1">
      <c r="A91" s="32"/>
      <c r="B91" s="32"/>
      <c r="C91" s="33" t="e">
        <f t="shared" si="3"/>
        <v>#N/A</v>
      </c>
      <c r="D91" s="18">
        <v>202401099</v>
      </c>
      <c r="E91">
        <v>18</v>
      </c>
      <c r="F91" t="e">
        <f>Tabela1[[#This Row],[Total de jovens na turma ]]*3</f>
        <v>#N/A</v>
      </c>
      <c r="G91" s="37" t="e">
        <f t="shared" si="4"/>
        <v>#N/A</v>
      </c>
      <c r="H91" s="24">
        <v>6</v>
      </c>
    </row>
    <row r="92" spans="1:8" hidden="1">
      <c r="A92" s="32"/>
      <c r="B92" s="32"/>
      <c r="C92" s="33" t="e">
        <f t="shared" si="3"/>
        <v>#N/A</v>
      </c>
      <c r="D92" s="19">
        <v>202401100</v>
      </c>
      <c r="E92">
        <v>27</v>
      </c>
      <c r="F92" t="e">
        <f>Tabela1[[#This Row],[Total de jovens na turma ]]*3</f>
        <v>#N/A</v>
      </c>
      <c r="G92" s="37" t="e">
        <f t="shared" si="4"/>
        <v>#N/A</v>
      </c>
      <c r="H92" s="24">
        <v>6</v>
      </c>
    </row>
    <row r="93" spans="1:8" hidden="1">
      <c r="A93" s="32"/>
      <c r="B93" s="32"/>
      <c r="C93" s="33" t="e">
        <f t="shared" si="3"/>
        <v>#N/A</v>
      </c>
      <c r="D93" s="18">
        <v>202401100</v>
      </c>
      <c r="E93">
        <v>27</v>
      </c>
      <c r="F93" t="e">
        <f>Tabela1[[#This Row],[Total de jovens na turma ]]*3</f>
        <v>#N/A</v>
      </c>
      <c r="G93" s="37" t="e">
        <f t="shared" si="4"/>
        <v>#N/A</v>
      </c>
      <c r="H93" s="24">
        <v>6</v>
      </c>
    </row>
    <row r="94" spans="1:8" hidden="1">
      <c r="A94" s="32"/>
      <c r="B94" s="32"/>
      <c r="C94" s="33" t="e">
        <f t="shared" si="3"/>
        <v>#N/A</v>
      </c>
      <c r="D94" s="19">
        <v>202401100</v>
      </c>
      <c r="E94">
        <v>27</v>
      </c>
      <c r="F94" t="e">
        <f>Tabela1[[#This Row],[Total de jovens na turma ]]*3</f>
        <v>#N/A</v>
      </c>
      <c r="G94" s="37" t="e">
        <f t="shared" si="4"/>
        <v>#N/A</v>
      </c>
      <c r="H94" s="24">
        <v>6</v>
      </c>
    </row>
    <row r="95" spans="1:8" hidden="1">
      <c r="A95" s="32"/>
      <c r="B95" s="32"/>
      <c r="C95" s="33" t="e">
        <f t="shared" si="3"/>
        <v>#N/A</v>
      </c>
      <c r="D95" s="18">
        <v>202401100</v>
      </c>
      <c r="E95">
        <v>27</v>
      </c>
      <c r="F95" t="e">
        <f>Tabela1[[#This Row],[Total de jovens na turma ]]*3</f>
        <v>#N/A</v>
      </c>
      <c r="G95" s="37" t="e">
        <f t="shared" si="4"/>
        <v>#N/A</v>
      </c>
      <c r="H95" s="24">
        <v>6</v>
      </c>
    </row>
    <row r="96" spans="1:8" hidden="1">
      <c r="A96" s="32"/>
      <c r="B96" s="32"/>
      <c r="C96" s="33" t="e">
        <f t="shared" si="3"/>
        <v>#N/A</v>
      </c>
      <c r="D96" s="19">
        <v>202401100</v>
      </c>
      <c r="E96">
        <v>27</v>
      </c>
      <c r="F96" t="e">
        <f>Tabela1[[#This Row],[Total de jovens na turma ]]*3</f>
        <v>#N/A</v>
      </c>
      <c r="G96" s="37" t="e">
        <f t="shared" si="4"/>
        <v>#N/A</v>
      </c>
      <c r="H96" s="24">
        <v>6</v>
      </c>
    </row>
    <row r="97" spans="1:8" hidden="1">
      <c r="A97" s="32"/>
      <c r="B97" s="32"/>
      <c r="C97" s="33" t="e">
        <f t="shared" si="3"/>
        <v>#N/A</v>
      </c>
      <c r="D97" s="18">
        <v>202401100</v>
      </c>
      <c r="E97">
        <v>27</v>
      </c>
      <c r="F97" t="e">
        <f>Tabela1[[#This Row],[Total de jovens na turma ]]*3</f>
        <v>#N/A</v>
      </c>
      <c r="G97" s="37" t="e">
        <f t="shared" si="4"/>
        <v>#N/A</v>
      </c>
      <c r="H97" s="24">
        <v>6</v>
      </c>
    </row>
    <row r="98" spans="1:8" hidden="1">
      <c r="A98" s="32"/>
      <c r="B98" s="32"/>
      <c r="C98" s="33" t="e">
        <f t="shared" si="3"/>
        <v>#N/A</v>
      </c>
      <c r="D98" s="19">
        <v>202401100</v>
      </c>
      <c r="E98">
        <v>27</v>
      </c>
      <c r="F98" t="e">
        <f>Tabela1[[#This Row],[Total de jovens na turma ]]*3</f>
        <v>#N/A</v>
      </c>
      <c r="G98" s="37" t="e">
        <f t="shared" si="4"/>
        <v>#N/A</v>
      </c>
      <c r="H98" s="24">
        <v>6</v>
      </c>
    </row>
    <row r="99" spans="1:8" hidden="1">
      <c r="A99" s="32"/>
      <c r="B99" s="32"/>
      <c r="C99" s="33" t="e">
        <f t="shared" si="3"/>
        <v>#N/A</v>
      </c>
      <c r="D99" s="18">
        <v>202401099</v>
      </c>
      <c r="E99">
        <v>18</v>
      </c>
      <c r="F99" t="e">
        <f>Tabela1[[#This Row],[Total de jovens na turma ]]*3</f>
        <v>#N/A</v>
      </c>
      <c r="G99" s="37" t="e">
        <f t="shared" si="4"/>
        <v>#N/A</v>
      </c>
      <c r="H99" s="24">
        <v>6</v>
      </c>
    </row>
    <row r="100" spans="1:8" hidden="1">
      <c r="A100" s="32"/>
      <c r="B100" s="32"/>
      <c r="C100" s="33" t="e">
        <f t="shared" si="3"/>
        <v>#N/A</v>
      </c>
      <c r="D100" s="19">
        <v>202401099</v>
      </c>
      <c r="E100">
        <v>18</v>
      </c>
      <c r="F100" t="e">
        <f>Tabela1[[#This Row],[Total de jovens na turma ]]*3</f>
        <v>#N/A</v>
      </c>
      <c r="G100" s="37" t="e">
        <f t="shared" si="4"/>
        <v>#N/A</v>
      </c>
      <c r="H100" s="24">
        <v>6</v>
      </c>
    </row>
    <row r="101" spans="1:8" hidden="1">
      <c r="A101" s="32"/>
      <c r="B101" s="32"/>
      <c r="C101" s="33" t="e">
        <f t="shared" si="3"/>
        <v>#N/A</v>
      </c>
      <c r="D101" s="18">
        <v>202401099</v>
      </c>
      <c r="E101">
        <v>18</v>
      </c>
      <c r="F101" t="e">
        <f>Tabela1[[#This Row],[Total de jovens na turma ]]*3</f>
        <v>#N/A</v>
      </c>
      <c r="G101" s="37" t="e">
        <f t="shared" si="4"/>
        <v>#N/A</v>
      </c>
      <c r="H101" s="24">
        <v>6</v>
      </c>
    </row>
    <row r="102" spans="1:8" hidden="1">
      <c r="A102" s="32"/>
      <c r="B102" s="32"/>
      <c r="C102" s="33" t="e">
        <f t="shared" si="3"/>
        <v>#N/A</v>
      </c>
      <c r="D102" s="19">
        <v>202401099</v>
      </c>
      <c r="E102">
        <v>18</v>
      </c>
      <c r="F102" t="e">
        <f>Tabela1[[#This Row],[Total de jovens na turma ]]*3</f>
        <v>#N/A</v>
      </c>
      <c r="G102" s="37" t="e">
        <f t="shared" si="4"/>
        <v>#N/A</v>
      </c>
      <c r="H102" s="24">
        <v>6</v>
      </c>
    </row>
    <row r="103" spans="1:8" hidden="1">
      <c r="A103" s="32"/>
      <c r="B103" s="32"/>
      <c r="C103" s="33" t="e">
        <f t="shared" si="3"/>
        <v>#N/A</v>
      </c>
      <c r="D103" s="18">
        <v>202401100</v>
      </c>
      <c r="E103">
        <v>27</v>
      </c>
      <c r="F103" t="e">
        <f>Tabela1[[#This Row],[Total de jovens na turma ]]*3</f>
        <v>#N/A</v>
      </c>
      <c r="G103" s="37" t="e">
        <f t="shared" si="4"/>
        <v>#N/A</v>
      </c>
      <c r="H103" s="24">
        <v>6</v>
      </c>
    </row>
    <row r="104" spans="1:8" hidden="1">
      <c r="A104" s="32"/>
      <c r="B104" s="32"/>
      <c r="C104" s="33" t="e">
        <f t="shared" si="3"/>
        <v>#N/A</v>
      </c>
      <c r="D104" s="19">
        <v>202401100</v>
      </c>
      <c r="E104">
        <v>27</v>
      </c>
      <c r="F104" t="e">
        <f>Tabela1[[#This Row],[Total de jovens na turma ]]*3</f>
        <v>#N/A</v>
      </c>
      <c r="G104" s="37" t="e">
        <f t="shared" si="4"/>
        <v>#N/A</v>
      </c>
      <c r="H104" s="24">
        <v>6</v>
      </c>
    </row>
    <row r="105" spans="1:8" hidden="1">
      <c r="A105" s="32"/>
      <c r="B105" s="32"/>
      <c r="C105" s="33" t="e">
        <f t="shared" si="3"/>
        <v>#N/A</v>
      </c>
      <c r="D105" s="18">
        <v>202401100</v>
      </c>
      <c r="E105">
        <v>27</v>
      </c>
      <c r="F105" t="e">
        <f>Tabela1[[#This Row],[Total de jovens na turma ]]*3</f>
        <v>#N/A</v>
      </c>
      <c r="G105" s="37" t="e">
        <f t="shared" si="4"/>
        <v>#N/A</v>
      </c>
      <c r="H105" s="24">
        <v>6</v>
      </c>
    </row>
    <row r="106" spans="1:8" hidden="1">
      <c r="A106" s="32"/>
      <c r="B106" s="32"/>
      <c r="C106" s="33" t="e">
        <f t="shared" si="3"/>
        <v>#N/A</v>
      </c>
      <c r="D106" s="19">
        <v>202401100</v>
      </c>
      <c r="E106">
        <v>27</v>
      </c>
      <c r="F106" t="e">
        <f>Tabela1[[#This Row],[Total de jovens na turma ]]*3</f>
        <v>#N/A</v>
      </c>
      <c r="G106" s="37" t="e">
        <f t="shared" si="4"/>
        <v>#N/A</v>
      </c>
      <c r="H106" s="24">
        <v>6</v>
      </c>
    </row>
    <row r="107" spans="1:8" hidden="1">
      <c r="A107" s="32"/>
      <c r="B107" s="32"/>
      <c r="C107" s="33" t="e">
        <f t="shared" si="3"/>
        <v>#N/A</v>
      </c>
      <c r="D107" s="18">
        <v>202401099</v>
      </c>
      <c r="E107">
        <v>18</v>
      </c>
      <c r="F107" t="e">
        <f>Tabela1[[#This Row],[Total de jovens na turma ]]*3</f>
        <v>#N/A</v>
      </c>
      <c r="G107" s="37" t="e">
        <f t="shared" si="4"/>
        <v>#N/A</v>
      </c>
      <c r="H107" s="24">
        <v>6</v>
      </c>
    </row>
    <row r="108" spans="1:8" hidden="1">
      <c r="A108" s="32"/>
      <c r="B108" s="32"/>
      <c r="C108" s="33" t="e">
        <f t="shared" si="3"/>
        <v>#N/A</v>
      </c>
      <c r="D108" s="19">
        <v>202401099</v>
      </c>
      <c r="E108">
        <v>18</v>
      </c>
      <c r="F108" t="e">
        <f>Tabela1[[#This Row],[Total de jovens na turma ]]*3</f>
        <v>#N/A</v>
      </c>
      <c r="G108" s="37" t="e">
        <f t="shared" si="4"/>
        <v>#N/A</v>
      </c>
      <c r="H108" s="24">
        <v>6</v>
      </c>
    </row>
    <row r="109" spans="1:8" hidden="1">
      <c r="A109" s="32"/>
      <c r="B109" s="32"/>
      <c r="C109" s="33" t="e">
        <f t="shared" si="3"/>
        <v>#N/A</v>
      </c>
      <c r="D109" s="18">
        <v>202401099</v>
      </c>
      <c r="E109">
        <v>18</v>
      </c>
      <c r="F109" t="e">
        <f>Tabela1[[#This Row],[Total de jovens na turma ]]*3</f>
        <v>#N/A</v>
      </c>
      <c r="G109" s="37" t="e">
        <f t="shared" si="4"/>
        <v>#N/A</v>
      </c>
      <c r="H109" s="24">
        <v>6</v>
      </c>
    </row>
    <row r="110" spans="1:8" hidden="1">
      <c r="A110" s="32"/>
      <c r="B110" s="32"/>
      <c r="C110" s="33" t="e">
        <f t="shared" si="3"/>
        <v>#N/A</v>
      </c>
      <c r="D110" s="19">
        <v>202401099</v>
      </c>
      <c r="E110">
        <v>18</v>
      </c>
      <c r="F110" t="e">
        <f>Tabela1[[#This Row],[Total de jovens na turma ]]*3</f>
        <v>#N/A</v>
      </c>
      <c r="G110" s="37" t="e">
        <f t="shared" si="4"/>
        <v>#N/A</v>
      </c>
      <c r="H110" s="24">
        <v>6</v>
      </c>
    </row>
    <row r="111" spans="1:8" hidden="1">
      <c r="A111" s="32"/>
      <c r="B111" s="32"/>
      <c r="C111" s="33" t="e">
        <f t="shared" si="3"/>
        <v>#N/A</v>
      </c>
      <c r="D111" s="18">
        <v>202401099</v>
      </c>
      <c r="E111">
        <v>18</v>
      </c>
      <c r="F111" t="e">
        <f>Tabela1[[#This Row],[Total de jovens na turma ]]*3</f>
        <v>#N/A</v>
      </c>
      <c r="G111" s="37" t="e">
        <f t="shared" si="4"/>
        <v>#N/A</v>
      </c>
      <c r="H111" s="24">
        <v>6</v>
      </c>
    </row>
    <row r="112" spans="1:8" hidden="1">
      <c r="A112" s="32"/>
      <c r="B112" s="32"/>
      <c r="C112" s="33" t="e">
        <f t="shared" si="3"/>
        <v>#N/A</v>
      </c>
      <c r="D112" s="19">
        <v>202401099</v>
      </c>
      <c r="E112">
        <v>18</v>
      </c>
      <c r="F112" t="e">
        <f>Tabela1[[#This Row],[Total de jovens na turma ]]*3</f>
        <v>#N/A</v>
      </c>
      <c r="G112" s="37" t="e">
        <f t="shared" si="4"/>
        <v>#N/A</v>
      </c>
      <c r="H112" s="24">
        <v>6</v>
      </c>
    </row>
    <row r="113" spans="1:8" hidden="1">
      <c r="A113" s="32"/>
      <c r="B113" s="32"/>
      <c r="C113" s="33" t="e">
        <f t="shared" si="3"/>
        <v>#N/A</v>
      </c>
      <c r="D113" s="18">
        <v>202401099</v>
      </c>
      <c r="E113">
        <v>18</v>
      </c>
      <c r="F113" t="e">
        <f>Tabela1[[#This Row],[Total de jovens na turma ]]*3</f>
        <v>#N/A</v>
      </c>
      <c r="G113" s="37" t="e">
        <f t="shared" si="4"/>
        <v>#N/A</v>
      </c>
      <c r="H113" s="24">
        <v>6</v>
      </c>
    </row>
    <row r="114" spans="1:8" hidden="1">
      <c r="A114" s="32"/>
      <c r="B114" s="32"/>
      <c r="C114" s="33" t="e">
        <f t="shared" si="3"/>
        <v>#N/A</v>
      </c>
      <c r="D114" s="19">
        <v>202400990</v>
      </c>
      <c r="E114">
        <v>30</v>
      </c>
      <c r="F114" t="e">
        <f>Tabela1[[#This Row],[Total de jovens na turma ]]*3</f>
        <v>#N/A</v>
      </c>
      <c r="G114" s="37" t="e">
        <f t="shared" si="4"/>
        <v>#N/A</v>
      </c>
      <c r="H114" s="24">
        <v>6</v>
      </c>
    </row>
    <row r="115" spans="1:8" hidden="1">
      <c r="A115" s="32"/>
      <c r="B115" s="32"/>
      <c r="C115" s="33" t="e">
        <f t="shared" si="3"/>
        <v>#N/A</v>
      </c>
      <c r="D115" s="18">
        <v>202401281</v>
      </c>
      <c r="E115">
        <v>26</v>
      </c>
      <c r="F115" t="e">
        <f>Tabela1[[#This Row],[Total de jovens na turma ]]*3</f>
        <v>#N/A</v>
      </c>
      <c r="G115" s="37" t="e">
        <f t="shared" si="4"/>
        <v>#N/A</v>
      </c>
      <c r="H115" s="24">
        <v>6</v>
      </c>
    </row>
    <row r="116" spans="1:8" hidden="1">
      <c r="A116" s="32"/>
      <c r="B116" s="32"/>
      <c r="C116" s="33" t="e">
        <f t="shared" si="3"/>
        <v>#N/A</v>
      </c>
      <c r="D116" s="19">
        <v>202400990</v>
      </c>
      <c r="E116">
        <v>30</v>
      </c>
      <c r="F116" t="e">
        <f>Tabela1[[#This Row],[Total de jovens na turma ]]*3</f>
        <v>#N/A</v>
      </c>
      <c r="G116" s="37" t="e">
        <f t="shared" si="4"/>
        <v>#N/A</v>
      </c>
      <c r="H116" s="24">
        <v>6</v>
      </c>
    </row>
    <row r="117" spans="1:8" hidden="1">
      <c r="A117" s="32"/>
      <c r="B117" s="32"/>
      <c r="C117" s="33" t="e">
        <f t="shared" si="3"/>
        <v>#N/A</v>
      </c>
      <c r="D117" s="18">
        <v>202401281</v>
      </c>
      <c r="E117">
        <v>26</v>
      </c>
      <c r="F117" t="e">
        <f>Tabela1[[#This Row],[Total de jovens na turma ]]*3</f>
        <v>#N/A</v>
      </c>
      <c r="G117" s="37" t="e">
        <f t="shared" si="4"/>
        <v>#N/A</v>
      </c>
      <c r="H117" s="24">
        <v>6</v>
      </c>
    </row>
    <row r="118" spans="1:8" hidden="1">
      <c r="A118" s="32"/>
      <c r="B118" s="32"/>
      <c r="C118" s="33" t="e">
        <f t="shared" si="3"/>
        <v>#N/A</v>
      </c>
      <c r="D118" s="19">
        <v>202400990</v>
      </c>
      <c r="E118">
        <v>30</v>
      </c>
      <c r="F118" t="e">
        <f>Tabela1[[#This Row],[Total de jovens na turma ]]*3</f>
        <v>#N/A</v>
      </c>
      <c r="G118" s="37" t="e">
        <f t="shared" si="4"/>
        <v>#N/A</v>
      </c>
      <c r="H118" s="24">
        <v>6</v>
      </c>
    </row>
    <row r="119" spans="1:8" hidden="1">
      <c r="A119" s="32"/>
      <c r="B119" s="32"/>
      <c r="C119" s="33" t="e">
        <f t="shared" si="3"/>
        <v>#N/A</v>
      </c>
      <c r="D119" s="18">
        <v>202400991</v>
      </c>
      <c r="E119">
        <v>28</v>
      </c>
      <c r="F119" t="e">
        <f>Tabela1[[#This Row],[Total de jovens na turma ]]*3</f>
        <v>#N/A</v>
      </c>
      <c r="G119" s="37" t="e">
        <f t="shared" si="4"/>
        <v>#N/A</v>
      </c>
      <c r="H119" s="24">
        <v>6</v>
      </c>
    </row>
    <row r="120" spans="1:8" hidden="1">
      <c r="A120" s="32"/>
      <c r="B120" s="32"/>
      <c r="C120" s="33" t="e">
        <f t="shared" si="3"/>
        <v>#N/A</v>
      </c>
      <c r="D120" s="19">
        <v>202400991</v>
      </c>
      <c r="E120">
        <v>28</v>
      </c>
      <c r="F120" t="e">
        <f>Tabela1[[#This Row],[Total de jovens na turma ]]*3</f>
        <v>#N/A</v>
      </c>
      <c r="G120" s="37" t="e">
        <f t="shared" si="4"/>
        <v>#N/A</v>
      </c>
      <c r="H120" s="24">
        <v>6</v>
      </c>
    </row>
    <row r="121" spans="1:8" hidden="1">
      <c r="A121" s="32"/>
      <c r="B121" s="32"/>
      <c r="C121" s="33" t="e">
        <f t="shared" si="3"/>
        <v>#N/A</v>
      </c>
      <c r="D121" s="18">
        <v>202400990</v>
      </c>
      <c r="E121">
        <v>30</v>
      </c>
      <c r="F121" t="e">
        <f>Tabela1[[#This Row],[Total de jovens na turma ]]*3</f>
        <v>#N/A</v>
      </c>
      <c r="G121" s="37" t="e">
        <f t="shared" si="4"/>
        <v>#N/A</v>
      </c>
      <c r="H121" s="24">
        <v>6</v>
      </c>
    </row>
    <row r="122" spans="1:8" hidden="1">
      <c r="A122" s="32"/>
      <c r="B122" s="32"/>
      <c r="C122" s="33" t="e">
        <f t="shared" si="3"/>
        <v>#N/A</v>
      </c>
      <c r="D122" s="19">
        <v>202400991</v>
      </c>
      <c r="E122">
        <v>28</v>
      </c>
      <c r="F122" t="e">
        <f>Tabela1[[#This Row],[Total de jovens na turma ]]*3</f>
        <v>#N/A</v>
      </c>
      <c r="G122" s="37" t="e">
        <f t="shared" si="4"/>
        <v>#N/A</v>
      </c>
      <c r="H122" s="24">
        <v>6</v>
      </c>
    </row>
    <row r="123" spans="1:8" hidden="1">
      <c r="A123" s="32"/>
      <c r="B123" s="32"/>
      <c r="C123" s="33" t="e">
        <f t="shared" si="3"/>
        <v>#N/A</v>
      </c>
      <c r="D123" s="18">
        <v>202400991</v>
      </c>
      <c r="E123">
        <v>28</v>
      </c>
      <c r="F123" t="e">
        <f>Tabela1[[#This Row],[Total de jovens na turma ]]*3</f>
        <v>#N/A</v>
      </c>
      <c r="G123" s="37" t="e">
        <f t="shared" si="4"/>
        <v>#N/A</v>
      </c>
      <c r="H123" s="24">
        <v>6</v>
      </c>
    </row>
    <row r="124" spans="1:8" hidden="1">
      <c r="A124" s="32"/>
      <c r="B124" s="32"/>
      <c r="C124" s="33" t="e">
        <f t="shared" si="3"/>
        <v>#N/A</v>
      </c>
      <c r="D124" s="19">
        <v>202400990</v>
      </c>
      <c r="E124">
        <v>30</v>
      </c>
      <c r="F124" t="e">
        <f>Tabela1[[#This Row],[Total de jovens na turma ]]*3</f>
        <v>#N/A</v>
      </c>
      <c r="G124" s="37" t="e">
        <f t="shared" si="4"/>
        <v>#N/A</v>
      </c>
      <c r="H124" s="24">
        <v>6</v>
      </c>
    </row>
    <row r="125" spans="1:8" hidden="1">
      <c r="A125" s="32"/>
      <c r="B125" s="32"/>
      <c r="C125" s="33" t="e">
        <f t="shared" si="3"/>
        <v>#N/A</v>
      </c>
      <c r="D125" s="18">
        <v>202400991</v>
      </c>
      <c r="E125">
        <v>28</v>
      </c>
      <c r="F125" t="e">
        <f>Tabela1[[#This Row],[Total de jovens na turma ]]*3</f>
        <v>#N/A</v>
      </c>
      <c r="G125" s="37" t="e">
        <f t="shared" si="4"/>
        <v>#N/A</v>
      </c>
      <c r="H125" s="24">
        <v>6</v>
      </c>
    </row>
    <row r="126" spans="1:8" hidden="1">
      <c r="A126" s="32"/>
      <c r="B126" s="32"/>
      <c r="C126" s="33" t="e">
        <f t="shared" si="3"/>
        <v>#N/A</v>
      </c>
      <c r="D126" s="19">
        <v>202400990</v>
      </c>
      <c r="E126">
        <v>30</v>
      </c>
      <c r="F126" t="e">
        <f>Tabela1[[#This Row],[Total de jovens na turma ]]*3</f>
        <v>#N/A</v>
      </c>
      <c r="G126" s="37" t="e">
        <f t="shared" si="4"/>
        <v>#N/A</v>
      </c>
      <c r="H126" s="24">
        <v>6</v>
      </c>
    </row>
    <row r="127" spans="1:8" hidden="1">
      <c r="A127" s="32"/>
      <c r="B127" s="32"/>
      <c r="C127" s="33" t="e">
        <f t="shared" si="3"/>
        <v>#N/A</v>
      </c>
      <c r="D127" s="18">
        <v>202400990</v>
      </c>
      <c r="E127">
        <v>30</v>
      </c>
      <c r="F127" t="e">
        <f>Tabela1[[#This Row],[Total de jovens na turma ]]*3</f>
        <v>#N/A</v>
      </c>
      <c r="G127" s="37" t="e">
        <f t="shared" si="4"/>
        <v>#N/A</v>
      </c>
      <c r="H127" s="24">
        <v>6</v>
      </c>
    </row>
    <row r="128" spans="1:8" hidden="1">
      <c r="A128" s="32"/>
      <c r="B128" s="32"/>
      <c r="C128" s="33" t="e">
        <f t="shared" si="3"/>
        <v>#N/A</v>
      </c>
      <c r="D128" s="19">
        <v>202400991</v>
      </c>
      <c r="E128">
        <v>28</v>
      </c>
      <c r="F128" t="e">
        <f>Tabela1[[#This Row],[Total de jovens na turma ]]*3</f>
        <v>#N/A</v>
      </c>
      <c r="G128" s="37" t="e">
        <f t="shared" si="4"/>
        <v>#N/A</v>
      </c>
      <c r="H128" s="24">
        <v>6</v>
      </c>
    </row>
    <row r="129" spans="1:8" hidden="1">
      <c r="A129" s="32"/>
      <c r="B129" s="32"/>
      <c r="C129" s="33" t="e">
        <f t="shared" si="3"/>
        <v>#N/A</v>
      </c>
      <c r="D129" s="18">
        <v>202400990</v>
      </c>
      <c r="E129">
        <v>30</v>
      </c>
      <c r="F129" t="e">
        <f>Tabela1[[#This Row],[Total de jovens na turma ]]*3</f>
        <v>#N/A</v>
      </c>
      <c r="G129" s="37" t="e">
        <f t="shared" si="4"/>
        <v>#N/A</v>
      </c>
      <c r="H129" s="24">
        <v>6</v>
      </c>
    </row>
    <row r="130" spans="1:8" hidden="1">
      <c r="A130" s="32"/>
      <c r="B130" s="32"/>
      <c r="C130" s="33" t="e">
        <f t="shared" si="3"/>
        <v>#N/A</v>
      </c>
      <c r="D130" s="19">
        <v>202400990</v>
      </c>
      <c r="E130">
        <v>30</v>
      </c>
      <c r="F130" t="e">
        <f>Tabela1[[#This Row],[Total de jovens na turma ]]*3</f>
        <v>#N/A</v>
      </c>
      <c r="G130" s="37" t="e">
        <f t="shared" si="4"/>
        <v>#N/A</v>
      </c>
      <c r="H130" s="24">
        <v>6</v>
      </c>
    </row>
    <row r="131" spans="1:8" hidden="1">
      <c r="A131" s="32"/>
      <c r="B131" s="32"/>
      <c r="C131" s="33" t="e">
        <f t="shared" si="3"/>
        <v>#N/A</v>
      </c>
      <c r="D131" s="18">
        <v>202400990</v>
      </c>
      <c r="E131">
        <v>30</v>
      </c>
      <c r="F131" t="e">
        <f>Tabela1[[#This Row],[Total de jovens na turma ]]*3</f>
        <v>#N/A</v>
      </c>
      <c r="G131" s="37" t="e">
        <f t="shared" si="4"/>
        <v>#N/A</v>
      </c>
      <c r="H131" s="24">
        <v>6</v>
      </c>
    </row>
    <row r="132" spans="1:8" hidden="1">
      <c r="A132" s="32"/>
      <c r="B132" s="32"/>
      <c r="C132" s="33" t="e">
        <f t="shared" si="3"/>
        <v>#N/A</v>
      </c>
      <c r="D132" s="19">
        <v>202400990</v>
      </c>
      <c r="E132">
        <v>30</v>
      </c>
      <c r="F132" t="e">
        <f>Tabela1[[#This Row],[Total de jovens na turma ]]*3</f>
        <v>#N/A</v>
      </c>
      <c r="G132" s="37" t="e">
        <f t="shared" si="4"/>
        <v>#N/A</v>
      </c>
      <c r="H132" s="24">
        <v>6</v>
      </c>
    </row>
    <row r="133" spans="1:8" hidden="1">
      <c r="A133" s="32"/>
      <c r="B133" s="32"/>
      <c r="C133" s="33" t="e">
        <f t="shared" ref="C133:C196" si="5">VLOOKUP(A133,D:E,2,0)</f>
        <v>#N/A</v>
      </c>
      <c r="D133" s="18">
        <v>202400990</v>
      </c>
      <c r="E133">
        <v>30</v>
      </c>
      <c r="F133" t="e">
        <f>Tabela1[[#This Row],[Total de jovens na turma ]]*3</f>
        <v>#N/A</v>
      </c>
      <c r="G133" s="37" t="e">
        <f t="shared" si="4"/>
        <v>#N/A</v>
      </c>
      <c r="H133" s="24">
        <v>6</v>
      </c>
    </row>
    <row r="134" spans="1:8" hidden="1">
      <c r="A134" s="32"/>
      <c r="B134" s="32"/>
      <c r="C134" s="33" t="e">
        <f t="shared" si="5"/>
        <v>#N/A</v>
      </c>
      <c r="D134" s="19">
        <v>202400991</v>
      </c>
      <c r="E134">
        <v>28</v>
      </c>
      <c r="F134" t="e">
        <f>Tabela1[[#This Row],[Total de jovens na turma ]]*3</f>
        <v>#N/A</v>
      </c>
      <c r="G134" s="37" t="e">
        <f t="shared" si="4"/>
        <v>#N/A</v>
      </c>
      <c r="H134" s="24">
        <v>6</v>
      </c>
    </row>
    <row r="135" spans="1:8" hidden="1">
      <c r="A135" s="32"/>
      <c r="B135" s="32"/>
      <c r="C135" s="33" t="e">
        <f t="shared" si="5"/>
        <v>#N/A</v>
      </c>
      <c r="D135" s="18">
        <v>202400990</v>
      </c>
      <c r="E135">
        <v>30</v>
      </c>
      <c r="F135" t="e">
        <f>Tabela1[[#This Row],[Total de jovens na turma ]]*3</f>
        <v>#N/A</v>
      </c>
      <c r="G135" s="37" t="e">
        <f t="shared" ref="G135:G198" si="6">F135/24</f>
        <v>#N/A</v>
      </c>
      <c r="H135" s="24">
        <v>6</v>
      </c>
    </row>
    <row r="136" spans="1:8" hidden="1">
      <c r="A136" s="32"/>
      <c r="B136" s="32"/>
      <c r="C136" s="33" t="e">
        <f t="shared" si="5"/>
        <v>#N/A</v>
      </c>
      <c r="D136" s="19">
        <v>202400991</v>
      </c>
      <c r="E136">
        <v>28</v>
      </c>
      <c r="F136" t="e">
        <f>Tabela1[[#This Row],[Total de jovens na turma ]]*3</f>
        <v>#N/A</v>
      </c>
      <c r="G136" s="37" t="e">
        <f t="shared" si="6"/>
        <v>#N/A</v>
      </c>
      <c r="H136" s="24">
        <v>6</v>
      </c>
    </row>
    <row r="137" spans="1:8" hidden="1">
      <c r="A137" s="32"/>
      <c r="B137" s="32"/>
      <c r="C137" s="33" t="e">
        <f t="shared" si="5"/>
        <v>#N/A</v>
      </c>
      <c r="D137" s="18">
        <v>202400991</v>
      </c>
      <c r="E137">
        <v>28</v>
      </c>
      <c r="F137" t="e">
        <f>Tabela1[[#This Row],[Total de jovens na turma ]]*3</f>
        <v>#N/A</v>
      </c>
      <c r="G137" s="37" t="e">
        <f t="shared" si="6"/>
        <v>#N/A</v>
      </c>
      <c r="H137" s="24">
        <v>6</v>
      </c>
    </row>
    <row r="138" spans="1:8" hidden="1">
      <c r="A138" s="32"/>
      <c r="B138" s="32"/>
      <c r="C138" s="33" t="e">
        <f t="shared" si="5"/>
        <v>#N/A</v>
      </c>
      <c r="D138" s="19">
        <v>202400991</v>
      </c>
      <c r="E138">
        <v>28</v>
      </c>
      <c r="F138" t="e">
        <f>Tabela1[[#This Row],[Total de jovens na turma ]]*3</f>
        <v>#N/A</v>
      </c>
      <c r="G138" s="37" t="e">
        <f t="shared" si="6"/>
        <v>#N/A</v>
      </c>
      <c r="H138" s="24">
        <v>6</v>
      </c>
    </row>
    <row r="139" spans="1:8" hidden="1">
      <c r="A139" s="32"/>
      <c r="B139" s="32"/>
      <c r="C139" s="33" t="e">
        <f t="shared" si="5"/>
        <v>#N/A</v>
      </c>
      <c r="D139" s="18">
        <v>202400990</v>
      </c>
      <c r="E139">
        <v>30</v>
      </c>
      <c r="F139" t="e">
        <f>Tabela1[[#This Row],[Total de jovens na turma ]]*3</f>
        <v>#N/A</v>
      </c>
      <c r="G139" s="37" t="e">
        <f t="shared" si="6"/>
        <v>#N/A</v>
      </c>
      <c r="H139" s="24">
        <v>6</v>
      </c>
    </row>
    <row r="140" spans="1:8" hidden="1">
      <c r="A140" s="32"/>
      <c r="B140" s="32"/>
      <c r="C140" s="33" t="e">
        <f t="shared" si="5"/>
        <v>#N/A</v>
      </c>
      <c r="D140" s="19">
        <v>202400991</v>
      </c>
      <c r="E140">
        <v>28</v>
      </c>
      <c r="F140" t="e">
        <f>Tabela1[[#This Row],[Total de jovens na turma ]]*3</f>
        <v>#N/A</v>
      </c>
      <c r="G140" s="37" t="e">
        <f t="shared" si="6"/>
        <v>#N/A</v>
      </c>
      <c r="H140" s="24">
        <v>6</v>
      </c>
    </row>
    <row r="141" spans="1:8" hidden="1">
      <c r="A141" s="32"/>
      <c r="B141" s="32"/>
      <c r="C141" s="33" t="e">
        <f t="shared" si="5"/>
        <v>#N/A</v>
      </c>
      <c r="D141" s="18">
        <v>202400990</v>
      </c>
      <c r="E141">
        <v>30</v>
      </c>
      <c r="F141" t="e">
        <f>Tabela1[[#This Row],[Total de jovens na turma ]]*3</f>
        <v>#N/A</v>
      </c>
      <c r="G141" s="37" t="e">
        <f t="shared" si="6"/>
        <v>#N/A</v>
      </c>
      <c r="H141" s="24">
        <v>6</v>
      </c>
    </row>
    <row r="142" spans="1:8" hidden="1">
      <c r="A142" s="32"/>
      <c r="B142" s="32"/>
      <c r="C142" s="33" t="e">
        <f t="shared" si="5"/>
        <v>#N/A</v>
      </c>
      <c r="D142" s="19">
        <v>202400990</v>
      </c>
      <c r="E142">
        <v>30</v>
      </c>
      <c r="F142" t="e">
        <f>Tabela1[[#This Row],[Total de jovens na turma ]]*3</f>
        <v>#N/A</v>
      </c>
      <c r="G142" s="37" t="e">
        <f t="shared" si="6"/>
        <v>#N/A</v>
      </c>
      <c r="H142" s="24">
        <v>6</v>
      </c>
    </row>
    <row r="143" spans="1:8" hidden="1">
      <c r="A143" s="32"/>
      <c r="B143" s="32"/>
      <c r="C143" s="33" t="e">
        <f t="shared" si="5"/>
        <v>#N/A</v>
      </c>
      <c r="D143" s="18">
        <v>202401281</v>
      </c>
      <c r="E143">
        <v>26</v>
      </c>
      <c r="F143" t="e">
        <f>Tabela1[[#This Row],[Total de jovens na turma ]]*3</f>
        <v>#N/A</v>
      </c>
      <c r="G143" s="37" t="e">
        <f t="shared" si="6"/>
        <v>#N/A</v>
      </c>
      <c r="H143" s="24">
        <v>6</v>
      </c>
    </row>
    <row r="144" spans="1:8" hidden="1">
      <c r="A144" s="32"/>
      <c r="B144" s="32"/>
      <c r="C144" s="33" t="e">
        <f t="shared" si="5"/>
        <v>#N/A</v>
      </c>
      <c r="D144" s="19">
        <v>202400990</v>
      </c>
      <c r="E144">
        <v>30</v>
      </c>
      <c r="F144" t="e">
        <f>Tabela1[[#This Row],[Total de jovens na turma ]]*3</f>
        <v>#N/A</v>
      </c>
      <c r="G144" s="37" t="e">
        <f t="shared" si="6"/>
        <v>#N/A</v>
      </c>
      <c r="H144" s="24">
        <v>6</v>
      </c>
    </row>
    <row r="145" spans="1:8" hidden="1">
      <c r="A145" s="32"/>
      <c r="B145" s="32"/>
      <c r="C145" s="33" t="e">
        <f t="shared" si="5"/>
        <v>#N/A</v>
      </c>
      <c r="D145" s="18">
        <v>202400990</v>
      </c>
      <c r="E145">
        <v>30</v>
      </c>
      <c r="F145" t="e">
        <f>Tabela1[[#This Row],[Total de jovens na turma ]]*3</f>
        <v>#N/A</v>
      </c>
      <c r="G145" s="37" t="e">
        <f t="shared" si="6"/>
        <v>#N/A</v>
      </c>
      <c r="H145" s="24">
        <v>6</v>
      </c>
    </row>
    <row r="146" spans="1:8" hidden="1">
      <c r="A146" s="32"/>
      <c r="B146" s="32"/>
      <c r="C146" s="33" t="e">
        <f t="shared" si="5"/>
        <v>#N/A</v>
      </c>
      <c r="D146" s="19">
        <v>202400990</v>
      </c>
      <c r="E146">
        <v>30</v>
      </c>
      <c r="F146" t="e">
        <f>Tabela1[[#This Row],[Total de jovens na turma ]]*3</f>
        <v>#N/A</v>
      </c>
      <c r="G146" s="37" t="e">
        <f t="shared" si="6"/>
        <v>#N/A</v>
      </c>
      <c r="H146" s="24">
        <v>6</v>
      </c>
    </row>
    <row r="147" spans="1:8" hidden="1">
      <c r="A147" s="32"/>
      <c r="B147" s="32"/>
      <c r="C147" s="33" t="e">
        <f t="shared" si="5"/>
        <v>#N/A</v>
      </c>
      <c r="D147" s="18">
        <v>202401401</v>
      </c>
      <c r="E147">
        <v>8</v>
      </c>
      <c r="F147" t="e">
        <f>Tabela1[[#This Row],[Total de jovens na turma ]]*3</f>
        <v>#N/A</v>
      </c>
      <c r="G147" s="37" t="e">
        <f t="shared" si="6"/>
        <v>#N/A</v>
      </c>
      <c r="H147" s="24">
        <v>6</v>
      </c>
    </row>
    <row r="148" spans="1:8" hidden="1">
      <c r="A148" s="32"/>
      <c r="B148" s="32"/>
      <c r="C148" s="33" t="e">
        <f t="shared" si="5"/>
        <v>#N/A</v>
      </c>
      <c r="D148" s="19">
        <v>202401401</v>
      </c>
      <c r="E148">
        <v>8</v>
      </c>
      <c r="F148" t="e">
        <f>Tabela1[[#This Row],[Total de jovens na turma ]]*3</f>
        <v>#N/A</v>
      </c>
      <c r="G148" s="37" t="e">
        <f t="shared" si="6"/>
        <v>#N/A</v>
      </c>
      <c r="H148" s="24">
        <v>6</v>
      </c>
    </row>
    <row r="149" spans="1:8" hidden="1">
      <c r="A149" s="32"/>
      <c r="B149" s="32"/>
      <c r="C149" s="33" t="e">
        <f t="shared" si="5"/>
        <v>#N/A</v>
      </c>
      <c r="D149" s="18">
        <v>202400991</v>
      </c>
      <c r="E149">
        <v>28</v>
      </c>
      <c r="F149" t="e">
        <f>Tabela1[[#This Row],[Total de jovens na turma ]]*3</f>
        <v>#N/A</v>
      </c>
      <c r="G149" s="37" t="e">
        <f t="shared" si="6"/>
        <v>#N/A</v>
      </c>
      <c r="H149" s="24">
        <v>6</v>
      </c>
    </row>
    <row r="150" spans="1:8" hidden="1">
      <c r="A150" s="32"/>
      <c r="B150" s="32"/>
      <c r="C150" s="33" t="e">
        <f t="shared" si="5"/>
        <v>#N/A</v>
      </c>
      <c r="D150" s="19">
        <v>202400990</v>
      </c>
      <c r="E150">
        <v>30</v>
      </c>
      <c r="F150" t="e">
        <f>Tabela1[[#This Row],[Total de jovens na turma ]]*3</f>
        <v>#N/A</v>
      </c>
      <c r="G150" s="37" t="e">
        <f t="shared" si="6"/>
        <v>#N/A</v>
      </c>
      <c r="H150" s="24">
        <v>6</v>
      </c>
    </row>
    <row r="151" spans="1:8" hidden="1">
      <c r="A151" s="32"/>
      <c r="B151" s="32"/>
      <c r="C151" s="33" t="e">
        <f t="shared" si="5"/>
        <v>#N/A</v>
      </c>
      <c r="D151" s="18">
        <v>202401281</v>
      </c>
      <c r="E151">
        <v>26</v>
      </c>
      <c r="F151" t="e">
        <f>Tabela1[[#This Row],[Total de jovens na turma ]]*3</f>
        <v>#N/A</v>
      </c>
      <c r="G151" s="37" t="e">
        <f t="shared" si="6"/>
        <v>#N/A</v>
      </c>
      <c r="H151" s="24">
        <v>6</v>
      </c>
    </row>
    <row r="152" spans="1:8" hidden="1">
      <c r="A152" s="32"/>
      <c r="B152" s="32"/>
      <c r="C152" s="33" t="e">
        <f t="shared" si="5"/>
        <v>#N/A</v>
      </c>
      <c r="D152" s="19">
        <v>202400990</v>
      </c>
      <c r="E152">
        <v>30</v>
      </c>
      <c r="F152" t="e">
        <f>Tabela1[[#This Row],[Total de jovens na turma ]]*3</f>
        <v>#N/A</v>
      </c>
      <c r="G152" s="37" t="e">
        <f t="shared" si="6"/>
        <v>#N/A</v>
      </c>
      <c r="H152" s="24">
        <v>6</v>
      </c>
    </row>
    <row r="153" spans="1:8" hidden="1">
      <c r="A153" s="32"/>
      <c r="B153" s="32"/>
      <c r="C153" s="33" t="e">
        <f t="shared" si="5"/>
        <v>#N/A</v>
      </c>
      <c r="D153" s="18">
        <v>202400991</v>
      </c>
      <c r="E153">
        <v>28</v>
      </c>
      <c r="F153" t="e">
        <f>Tabela1[[#This Row],[Total de jovens na turma ]]*3</f>
        <v>#N/A</v>
      </c>
      <c r="G153" s="37" t="e">
        <f t="shared" si="6"/>
        <v>#N/A</v>
      </c>
      <c r="H153" s="24">
        <v>6</v>
      </c>
    </row>
    <row r="154" spans="1:8" hidden="1">
      <c r="A154" s="32"/>
      <c r="B154" s="32"/>
      <c r="C154" s="33" t="e">
        <f t="shared" si="5"/>
        <v>#N/A</v>
      </c>
      <c r="D154" s="19">
        <v>202401401</v>
      </c>
      <c r="E154">
        <v>8</v>
      </c>
      <c r="F154" t="e">
        <f>Tabela1[[#This Row],[Total de jovens na turma ]]*3</f>
        <v>#N/A</v>
      </c>
      <c r="G154" s="37" t="e">
        <f t="shared" si="6"/>
        <v>#N/A</v>
      </c>
      <c r="H154" s="24">
        <v>6</v>
      </c>
    </row>
    <row r="155" spans="1:8" hidden="1">
      <c r="A155" s="32"/>
      <c r="B155" s="32"/>
      <c r="C155" s="33" t="e">
        <f t="shared" si="5"/>
        <v>#N/A</v>
      </c>
      <c r="D155" s="18">
        <v>202401401</v>
      </c>
      <c r="E155">
        <v>8</v>
      </c>
      <c r="F155" t="e">
        <f>Tabela1[[#This Row],[Total de jovens na turma ]]*3</f>
        <v>#N/A</v>
      </c>
      <c r="G155" s="37" t="e">
        <f t="shared" si="6"/>
        <v>#N/A</v>
      </c>
      <c r="H155" s="24">
        <v>6</v>
      </c>
    </row>
    <row r="156" spans="1:8" hidden="1">
      <c r="A156" s="32"/>
      <c r="B156" s="32"/>
      <c r="C156" s="33" t="e">
        <f t="shared" si="5"/>
        <v>#N/A</v>
      </c>
      <c r="D156" s="19">
        <v>202400991</v>
      </c>
      <c r="E156">
        <v>28</v>
      </c>
      <c r="F156" t="e">
        <f>Tabela1[[#This Row],[Total de jovens na turma ]]*3</f>
        <v>#N/A</v>
      </c>
      <c r="G156" s="37" t="e">
        <f t="shared" si="6"/>
        <v>#N/A</v>
      </c>
      <c r="H156" s="24">
        <v>6</v>
      </c>
    </row>
    <row r="157" spans="1:8" hidden="1">
      <c r="A157" s="32"/>
      <c r="B157" s="32"/>
      <c r="C157" s="33" t="e">
        <f t="shared" si="5"/>
        <v>#N/A</v>
      </c>
      <c r="D157" s="18">
        <v>202400990</v>
      </c>
      <c r="E157">
        <v>30</v>
      </c>
      <c r="F157" t="e">
        <f>Tabela1[[#This Row],[Total de jovens na turma ]]*3</f>
        <v>#N/A</v>
      </c>
      <c r="G157" s="37" t="e">
        <f t="shared" si="6"/>
        <v>#N/A</v>
      </c>
      <c r="H157" s="24">
        <v>6</v>
      </c>
    </row>
    <row r="158" spans="1:8" hidden="1">
      <c r="A158" s="32"/>
      <c r="B158" s="32"/>
      <c r="C158" s="33" t="e">
        <f t="shared" si="5"/>
        <v>#N/A</v>
      </c>
      <c r="D158" s="19">
        <v>202400991</v>
      </c>
      <c r="E158">
        <v>28</v>
      </c>
      <c r="F158" t="e">
        <f>Tabela1[[#This Row],[Total de jovens na turma ]]*3</f>
        <v>#N/A</v>
      </c>
      <c r="G158" s="37" t="e">
        <f t="shared" si="6"/>
        <v>#N/A</v>
      </c>
      <c r="H158" s="24">
        <v>6</v>
      </c>
    </row>
    <row r="159" spans="1:8" hidden="1">
      <c r="A159" s="32"/>
      <c r="B159" s="32"/>
      <c r="C159" s="33" t="e">
        <f t="shared" si="5"/>
        <v>#N/A</v>
      </c>
      <c r="D159" s="18">
        <v>202401281</v>
      </c>
      <c r="E159">
        <v>26</v>
      </c>
      <c r="F159" t="e">
        <f>Tabela1[[#This Row],[Total de jovens na turma ]]*3</f>
        <v>#N/A</v>
      </c>
      <c r="G159" s="37" t="e">
        <f t="shared" si="6"/>
        <v>#N/A</v>
      </c>
      <c r="H159" s="24">
        <v>6</v>
      </c>
    </row>
    <row r="160" spans="1:8" hidden="1">
      <c r="A160" s="32"/>
      <c r="B160" s="32"/>
      <c r="C160" s="33" t="e">
        <f t="shared" si="5"/>
        <v>#N/A</v>
      </c>
      <c r="D160" s="19">
        <v>202400990</v>
      </c>
      <c r="E160">
        <v>30</v>
      </c>
      <c r="F160" t="e">
        <f>Tabela1[[#This Row],[Total de jovens na turma ]]*3</f>
        <v>#N/A</v>
      </c>
      <c r="G160" s="37" t="e">
        <f t="shared" si="6"/>
        <v>#N/A</v>
      </c>
      <c r="H160" s="24">
        <v>6</v>
      </c>
    </row>
    <row r="161" spans="1:8" hidden="1">
      <c r="A161" s="32"/>
      <c r="B161" s="32"/>
      <c r="C161" s="33" t="e">
        <f t="shared" si="5"/>
        <v>#N/A</v>
      </c>
      <c r="D161" s="18">
        <v>202400990</v>
      </c>
      <c r="E161">
        <v>30</v>
      </c>
      <c r="F161" t="e">
        <f>Tabela1[[#This Row],[Total de jovens na turma ]]*3</f>
        <v>#N/A</v>
      </c>
      <c r="G161" s="37" t="e">
        <f t="shared" si="6"/>
        <v>#N/A</v>
      </c>
      <c r="H161" s="24">
        <v>6</v>
      </c>
    </row>
    <row r="162" spans="1:8" hidden="1">
      <c r="A162" s="32"/>
      <c r="B162" s="32"/>
      <c r="C162" s="33" t="e">
        <f t="shared" si="5"/>
        <v>#N/A</v>
      </c>
      <c r="D162" s="19">
        <v>202400991</v>
      </c>
      <c r="E162">
        <v>28</v>
      </c>
      <c r="F162" t="e">
        <f>Tabela1[[#This Row],[Total de jovens na turma ]]*3</f>
        <v>#N/A</v>
      </c>
      <c r="G162" s="37" t="e">
        <f t="shared" si="6"/>
        <v>#N/A</v>
      </c>
      <c r="H162" s="24">
        <v>6</v>
      </c>
    </row>
    <row r="163" spans="1:8" hidden="1">
      <c r="A163" s="32"/>
      <c r="B163" s="32"/>
      <c r="C163" s="33" t="e">
        <f t="shared" si="5"/>
        <v>#N/A</v>
      </c>
      <c r="D163" s="18">
        <v>202401281</v>
      </c>
      <c r="E163">
        <v>26</v>
      </c>
      <c r="F163" t="e">
        <f>Tabela1[[#This Row],[Total de jovens na turma ]]*3</f>
        <v>#N/A</v>
      </c>
      <c r="G163" s="37" t="e">
        <f t="shared" si="6"/>
        <v>#N/A</v>
      </c>
      <c r="H163" s="24">
        <v>6</v>
      </c>
    </row>
    <row r="164" spans="1:8" hidden="1">
      <c r="A164" s="32"/>
      <c r="B164" s="32"/>
      <c r="C164" s="33" t="e">
        <f t="shared" si="5"/>
        <v>#N/A</v>
      </c>
      <c r="D164" s="19">
        <v>202401281</v>
      </c>
      <c r="E164">
        <v>26</v>
      </c>
      <c r="F164" t="e">
        <f>Tabela1[[#This Row],[Total de jovens na turma ]]*3</f>
        <v>#N/A</v>
      </c>
      <c r="G164" s="37" t="e">
        <f t="shared" si="6"/>
        <v>#N/A</v>
      </c>
      <c r="H164" s="24">
        <v>6</v>
      </c>
    </row>
    <row r="165" spans="1:8" hidden="1">
      <c r="A165" s="32"/>
      <c r="B165" s="32"/>
      <c r="C165" s="33" t="e">
        <f t="shared" si="5"/>
        <v>#N/A</v>
      </c>
      <c r="D165" s="18">
        <v>202400991</v>
      </c>
      <c r="E165">
        <v>28</v>
      </c>
      <c r="F165" t="e">
        <f>Tabela1[[#This Row],[Total de jovens na turma ]]*3</f>
        <v>#N/A</v>
      </c>
      <c r="G165" s="37" t="e">
        <f t="shared" si="6"/>
        <v>#N/A</v>
      </c>
      <c r="H165" s="24">
        <v>6</v>
      </c>
    </row>
    <row r="166" spans="1:8" hidden="1">
      <c r="A166" s="32"/>
      <c r="B166" s="32"/>
      <c r="C166" s="33" t="e">
        <f t="shared" si="5"/>
        <v>#N/A</v>
      </c>
      <c r="D166" s="19">
        <v>202401281</v>
      </c>
      <c r="E166">
        <v>26</v>
      </c>
      <c r="F166" t="e">
        <f>Tabela1[[#This Row],[Total de jovens na turma ]]*3</f>
        <v>#N/A</v>
      </c>
      <c r="G166" s="37" t="e">
        <f t="shared" si="6"/>
        <v>#N/A</v>
      </c>
      <c r="H166" s="24">
        <v>6</v>
      </c>
    </row>
    <row r="167" spans="1:8" hidden="1">
      <c r="A167" s="32"/>
      <c r="B167" s="32"/>
      <c r="C167" s="33" t="e">
        <f t="shared" si="5"/>
        <v>#N/A</v>
      </c>
      <c r="D167" s="18">
        <v>202401281</v>
      </c>
      <c r="E167">
        <v>26</v>
      </c>
      <c r="F167" t="e">
        <f>Tabela1[[#This Row],[Total de jovens na turma ]]*3</f>
        <v>#N/A</v>
      </c>
      <c r="G167" s="37" t="e">
        <f t="shared" si="6"/>
        <v>#N/A</v>
      </c>
      <c r="H167" s="24">
        <v>6</v>
      </c>
    </row>
    <row r="168" spans="1:8" hidden="1">
      <c r="A168" s="32"/>
      <c r="B168" s="32"/>
      <c r="C168" s="33" t="e">
        <f t="shared" si="5"/>
        <v>#N/A</v>
      </c>
      <c r="D168" s="19">
        <v>202400990</v>
      </c>
      <c r="E168">
        <v>30</v>
      </c>
      <c r="F168" t="e">
        <f>Tabela1[[#This Row],[Total de jovens na turma ]]*3</f>
        <v>#N/A</v>
      </c>
      <c r="G168" s="37" t="e">
        <f t="shared" si="6"/>
        <v>#N/A</v>
      </c>
      <c r="H168" s="24">
        <v>6</v>
      </c>
    </row>
    <row r="169" spans="1:8" hidden="1">
      <c r="A169" s="32"/>
      <c r="B169" s="32"/>
      <c r="C169" s="33" t="e">
        <f t="shared" si="5"/>
        <v>#N/A</v>
      </c>
      <c r="D169" s="18">
        <v>202400990</v>
      </c>
      <c r="E169">
        <v>30</v>
      </c>
      <c r="F169" t="e">
        <f>Tabela1[[#This Row],[Total de jovens na turma ]]*3</f>
        <v>#N/A</v>
      </c>
      <c r="G169" s="37" t="e">
        <f t="shared" si="6"/>
        <v>#N/A</v>
      </c>
      <c r="H169" s="24">
        <v>6</v>
      </c>
    </row>
    <row r="170" spans="1:8" hidden="1">
      <c r="A170" s="32"/>
      <c r="B170" s="32"/>
      <c r="C170" s="33" t="e">
        <f t="shared" si="5"/>
        <v>#N/A</v>
      </c>
      <c r="D170" s="19">
        <v>202400990</v>
      </c>
      <c r="E170">
        <v>30</v>
      </c>
      <c r="F170" t="e">
        <f>Tabela1[[#This Row],[Total de jovens na turma ]]*3</f>
        <v>#N/A</v>
      </c>
      <c r="G170" s="37" t="e">
        <f t="shared" si="6"/>
        <v>#N/A</v>
      </c>
      <c r="H170" s="24">
        <v>6</v>
      </c>
    </row>
    <row r="171" spans="1:8" hidden="1">
      <c r="A171" s="32"/>
      <c r="B171" s="32"/>
      <c r="C171" s="33" t="e">
        <f t="shared" si="5"/>
        <v>#N/A</v>
      </c>
      <c r="D171" s="18">
        <v>202401281</v>
      </c>
      <c r="E171">
        <v>26</v>
      </c>
      <c r="F171" t="e">
        <f>Tabela1[[#This Row],[Total de jovens na turma ]]*3</f>
        <v>#N/A</v>
      </c>
      <c r="G171" s="37" t="e">
        <f t="shared" si="6"/>
        <v>#N/A</v>
      </c>
      <c r="H171" s="24">
        <v>6</v>
      </c>
    </row>
    <row r="172" spans="1:8" hidden="1">
      <c r="A172" s="32"/>
      <c r="B172" s="32"/>
      <c r="C172" s="33" t="e">
        <f t="shared" si="5"/>
        <v>#N/A</v>
      </c>
      <c r="D172" s="19">
        <v>202400990</v>
      </c>
      <c r="E172">
        <v>30</v>
      </c>
      <c r="F172" t="e">
        <f>Tabela1[[#This Row],[Total de jovens na turma ]]*3</f>
        <v>#N/A</v>
      </c>
      <c r="G172" s="37" t="e">
        <f t="shared" si="6"/>
        <v>#N/A</v>
      </c>
      <c r="H172" s="24">
        <v>6</v>
      </c>
    </row>
    <row r="173" spans="1:8" hidden="1">
      <c r="A173" s="32"/>
      <c r="B173" s="32"/>
      <c r="C173" s="33" t="e">
        <f t="shared" si="5"/>
        <v>#N/A</v>
      </c>
      <c r="D173" s="18">
        <v>202400991</v>
      </c>
      <c r="E173">
        <v>28</v>
      </c>
      <c r="F173" t="e">
        <f>Tabela1[[#This Row],[Total de jovens na turma ]]*3</f>
        <v>#N/A</v>
      </c>
      <c r="G173" s="37" t="e">
        <f t="shared" si="6"/>
        <v>#N/A</v>
      </c>
      <c r="H173" s="24">
        <v>6</v>
      </c>
    </row>
    <row r="174" spans="1:8" hidden="1">
      <c r="A174" s="32"/>
      <c r="B174" s="32"/>
      <c r="C174" s="33" t="e">
        <f t="shared" si="5"/>
        <v>#N/A</v>
      </c>
      <c r="D174" s="19">
        <v>202400991</v>
      </c>
      <c r="E174">
        <v>28</v>
      </c>
      <c r="F174" t="e">
        <f>Tabela1[[#This Row],[Total de jovens na turma ]]*3</f>
        <v>#N/A</v>
      </c>
      <c r="G174" s="37" t="e">
        <f t="shared" si="6"/>
        <v>#N/A</v>
      </c>
      <c r="H174" s="24">
        <v>6</v>
      </c>
    </row>
    <row r="175" spans="1:8" hidden="1">
      <c r="A175" s="32"/>
      <c r="B175" s="32"/>
      <c r="C175" s="33" t="e">
        <f t="shared" si="5"/>
        <v>#N/A</v>
      </c>
      <c r="D175" s="18">
        <v>202401281</v>
      </c>
      <c r="E175">
        <v>26</v>
      </c>
      <c r="F175" t="e">
        <f>Tabela1[[#This Row],[Total de jovens na turma ]]*3</f>
        <v>#N/A</v>
      </c>
      <c r="G175" s="37" t="e">
        <f t="shared" si="6"/>
        <v>#N/A</v>
      </c>
      <c r="H175" s="24">
        <v>6</v>
      </c>
    </row>
    <row r="176" spans="1:8" hidden="1">
      <c r="A176" s="32"/>
      <c r="B176" s="32"/>
      <c r="C176" s="33" t="e">
        <f t="shared" si="5"/>
        <v>#N/A</v>
      </c>
      <c r="D176" s="19">
        <v>202400991</v>
      </c>
      <c r="E176">
        <v>28</v>
      </c>
      <c r="F176" t="e">
        <f>Tabela1[[#This Row],[Total de jovens na turma ]]*3</f>
        <v>#N/A</v>
      </c>
      <c r="G176" s="37" t="e">
        <f t="shared" si="6"/>
        <v>#N/A</v>
      </c>
      <c r="H176" s="24">
        <v>6</v>
      </c>
    </row>
    <row r="177" spans="1:8" hidden="1">
      <c r="A177" s="32"/>
      <c r="B177" s="32"/>
      <c r="C177" s="33" t="e">
        <f t="shared" si="5"/>
        <v>#N/A</v>
      </c>
      <c r="D177" s="18">
        <v>202400991</v>
      </c>
      <c r="E177">
        <v>28</v>
      </c>
      <c r="F177" t="e">
        <f>Tabela1[[#This Row],[Total de jovens na turma ]]*3</f>
        <v>#N/A</v>
      </c>
      <c r="G177" s="37" t="e">
        <f t="shared" si="6"/>
        <v>#N/A</v>
      </c>
      <c r="H177" s="24">
        <v>6</v>
      </c>
    </row>
    <row r="178" spans="1:8" hidden="1">
      <c r="A178" s="32"/>
      <c r="B178" s="32"/>
      <c r="C178" s="33" t="e">
        <f t="shared" si="5"/>
        <v>#N/A</v>
      </c>
      <c r="D178" s="19">
        <v>202400991</v>
      </c>
      <c r="E178">
        <v>28</v>
      </c>
      <c r="F178" t="e">
        <f>Tabela1[[#This Row],[Total de jovens na turma ]]*3</f>
        <v>#N/A</v>
      </c>
      <c r="G178" s="37" t="e">
        <f t="shared" si="6"/>
        <v>#N/A</v>
      </c>
      <c r="H178" s="24">
        <v>6</v>
      </c>
    </row>
    <row r="179" spans="1:8" hidden="1">
      <c r="A179" s="32"/>
      <c r="B179" s="32"/>
      <c r="C179" s="33" t="e">
        <f t="shared" si="5"/>
        <v>#N/A</v>
      </c>
      <c r="D179" s="18">
        <v>202400991</v>
      </c>
      <c r="E179">
        <v>28</v>
      </c>
      <c r="F179" t="e">
        <f>Tabela1[[#This Row],[Total de jovens na turma ]]*3</f>
        <v>#N/A</v>
      </c>
      <c r="G179" s="37" t="e">
        <f t="shared" si="6"/>
        <v>#N/A</v>
      </c>
      <c r="H179" s="24">
        <v>6</v>
      </c>
    </row>
    <row r="180" spans="1:8" hidden="1">
      <c r="A180" s="32"/>
      <c r="B180" s="32"/>
      <c r="C180" s="33" t="e">
        <f t="shared" si="5"/>
        <v>#N/A</v>
      </c>
      <c r="D180" s="19">
        <v>202400991</v>
      </c>
      <c r="E180">
        <v>28</v>
      </c>
      <c r="F180" t="e">
        <f>Tabela1[[#This Row],[Total de jovens na turma ]]*3</f>
        <v>#N/A</v>
      </c>
      <c r="G180" s="37" t="e">
        <f t="shared" si="6"/>
        <v>#N/A</v>
      </c>
      <c r="H180" s="24">
        <v>6</v>
      </c>
    </row>
    <row r="181" spans="1:8" hidden="1">
      <c r="A181" s="32"/>
      <c r="B181" s="32"/>
      <c r="C181" s="33" t="e">
        <f t="shared" si="5"/>
        <v>#N/A</v>
      </c>
      <c r="D181" s="18">
        <v>202400991</v>
      </c>
      <c r="E181">
        <v>28</v>
      </c>
      <c r="F181" t="e">
        <f>Tabela1[[#This Row],[Total de jovens na turma ]]*3</f>
        <v>#N/A</v>
      </c>
      <c r="G181" s="37" t="e">
        <f t="shared" si="6"/>
        <v>#N/A</v>
      </c>
      <c r="H181" s="24">
        <v>6</v>
      </c>
    </row>
    <row r="182" spans="1:8" hidden="1">
      <c r="A182" s="32"/>
      <c r="B182" s="32"/>
      <c r="C182" s="33" t="e">
        <f t="shared" si="5"/>
        <v>#N/A</v>
      </c>
      <c r="D182" s="19">
        <v>202401281</v>
      </c>
      <c r="E182">
        <v>26</v>
      </c>
      <c r="F182" t="e">
        <f>Tabela1[[#This Row],[Total de jovens na turma ]]*3</f>
        <v>#N/A</v>
      </c>
      <c r="G182" s="37" t="e">
        <f t="shared" si="6"/>
        <v>#N/A</v>
      </c>
      <c r="H182" s="24">
        <v>6</v>
      </c>
    </row>
    <row r="183" spans="1:8" hidden="1">
      <c r="A183" s="32"/>
      <c r="B183" s="32"/>
      <c r="C183" s="33" t="e">
        <f t="shared" si="5"/>
        <v>#N/A</v>
      </c>
      <c r="D183" s="18">
        <v>202401281</v>
      </c>
      <c r="E183">
        <v>26</v>
      </c>
      <c r="F183" t="e">
        <f>Tabela1[[#This Row],[Total de jovens na turma ]]*3</f>
        <v>#N/A</v>
      </c>
      <c r="G183" s="37" t="e">
        <f t="shared" si="6"/>
        <v>#N/A</v>
      </c>
      <c r="H183" s="24">
        <v>6</v>
      </c>
    </row>
    <row r="184" spans="1:8" hidden="1">
      <c r="A184" s="32"/>
      <c r="B184" s="32"/>
      <c r="C184" s="33" t="e">
        <f t="shared" si="5"/>
        <v>#N/A</v>
      </c>
      <c r="D184" s="19">
        <v>202401281</v>
      </c>
      <c r="E184">
        <v>26</v>
      </c>
      <c r="F184" t="e">
        <f>Tabela1[[#This Row],[Total de jovens na turma ]]*3</f>
        <v>#N/A</v>
      </c>
      <c r="G184" s="37" t="e">
        <f t="shared" si="6"/>
        <v>#N/A</v>
      </c>
      <c r="H184" s="24">
        <v>6</v>
      </c>
    </row>
    <row r="185" spans="1:8" hidden="1">
      <c r="A185" s="32"/>
      <c r="B185" s="32"/>
      <c r="C185" s="33" t="e">
        <f t="shared" si="5"/>
        <v>#N/A</v>
      </c>
      <c r="D185" s="18">
        <v>202400991</v>
      </c>
      <c r="E185">
        <v>28</v>
      </c>
      <c r="F185" t="e">
        <f>Tabela1[[#This Row],[Total de jovens na turma ]]*3</f>
        <v>#N/A</v>
      </c>
      <c r="G185" s="37" t="e">
        <f t="shared" si="6"/>
        <v>#N/A</v>
      </c>
      <c r="H185" s="24">
        <v>6</v>
      </c>
    </row>
    <row r="186" spans="1:8" hidden="1">
      <c r="A186" s="32"/>
      <c r="B186" s="32"/>
      <c r="C186" s="33" t="e">
        <f t="shared" si="5"/>
        <v>#N/A</v>
      </c>
      <c r="D186" s="19">
        <v>202401401</v>
      </c>
      <c r="E186">
        <v>8</v>
      </c>
      <c r="F186" t="e">
        <f>Tabela1[[#This Row],[Total de jovens na turma ]]*3</f>
        <v>#N/A</v>
      </c>
      <c r="G186" s="37" t="e">
        <f t="shared" si="6"/>
        <v>#N/A</v>
      </c>
      <c r="H186" s="24">
        <v>6</v>
      </c>
    </row>
    <row r="187" spans="1:8" hidden="1">
      <c r="A187" s="32"/>
      <c r="B187" s="32"/>
      <c r="C187" s="33" t="e">
        <f t="shared" si="5"/>
        <v>#N/A</v>
      </c>
      <c r="D187" s="18">
        <v>202401281</v>
      </c>
      <c r="E187">
        <v>26</v>
      </c>
      <c r="F187" t="e">
        <f>Tabela1[[#This Row],[Total de jovens na turma ]]*3</f>
        <v>#N/A</v>
      </c>
      <c r="G187" s="37" t="e">
        <f t="shared" si="6"/>
        <v>#N/A</v>
      </c>
      <c r="H187" s="24">
        <v>6</v>
      </c>
    </row>
    <row r="188" spans="1:8" hidden="1">
      <c r="A188" s="32"/>
      <c r="B188" s="32"/>
      <c r="C188" s="33" t="e">
        <f t="shared" si="5"/>
        <v>#N/A</v>
      </c>
      <c r="D188" s="19">
        <v>202401401</v>
      </c>
      <c r="E188">
        <v>8</v>
      </c>
      <c r="F188" t="e">
        <f>Tabela1[[#This Row],[Total de jovens na turma ]]*3</f>
        <v>#N/A</v>
      </c>
      <c r="G188" s="37" t="e">
        <f t="shared" si="6"/>
        <v>#N/A</v>
      </c>
      <c r="H188" s="24">
        <v>6</v>
      </c>
    </row>
    <row r="189" spans="1:8" hidden="1">
      <c r="A189" s="32"/>
      <c r="B189" s="32"/>
      <c r="C189" s="33" t="e">
        <f t="shared" si="5"/>
        <v>#N/A</v>
      </c>
      <c r="D189" s="18">
        <v>202401401</v>
      </c>
      <c r="E189">
        <v>8</v>
      </c>
      <c r="F189" t="e">
        <f>Tabela1[[#This Row],[Total de jovens na turma ]]*3</f>
        <v>#N/A</v>
      </c>
      <c r="G189" s="37" t="e">
        <f t="shared" si="6"/>
        <v>#N/A</v>
      </c>
      <c r="H189" s="24">
        <v>6</v>
      </c>
    </row>
    <row r="190" spans="1:8" hidden="1">
      <c r="A190" s="32"/>
      <c r="B190" s="32"/>
      <c r="C190" s="33" t="e">
        <f t="shared" si="5"/>
        <v>#N/A</v>
      </c>
      <c r="D190" s="19">
        <v>202401401</v>
      </c>
      <c r="E190">
        <v>8</v>
      </c>
      <c r="F190" t="e">
        <f>Tabela1[[#This Row],[Total de jovens na turma ]]*3</f>
        <v>#N/A</v>
      </c>
      <c r="G190" s="37" t="e">
        <f t="shared" si="6"/>
        <v>#N/A</v>
      </c>
      <c r="H190" s="24">
        <v>6</v>
      </c>
    </row>
    <row r="191" spans="1:8" hidden="1">
      <c r="A191" s="32"/>
      <c r="B191" s="32"/>
      <c r="C191" s="33" t="e">
        <f t="shared" si="5"/>
        <v>#N/A</v>
      </c>
      <c r="D191" s="18">
        <v>202400990</v>
      </c>
      <c r="E191">
        <v>30</v>
      </c>
      <c r="F191" t="e">
        <f>Tabela1[[#This Row],[Total de jovens na turma ]]*3</f>
        <v>#N/A</v>
      </c>
      <c r="G191" s="37" t="e">
        <f t="shared" si="6"/>
        <v>#N/A</v>
      </c>
      <c r="H191" s="24">
        <v>6</v>
      </c>
    </row>
    <row r="192" spans="1:8" hidden="1">
      <c r="A192" s="32"/>
      <c r="B192" s="32"/>
      <c r="C192" s="33" t="e">
        <f t="shared" si="5"/>
        <v>#N/A</v>
      </c>
      <c r="D192" s="19">
        <v>202401281</v>
      </c>
      <c r="E192">
        <v>26</v>
      </c>
      <c r="F192" t="e">
        <f>Tabela1[[#This Row],[Total de jovens na turma ]]*3</f>
        <v>#N/A</v>
      </c>
      <c r="G192" s="37" t="e">
        <f t="shared" si="6"/>
        <v>#N/A</v>
      </c>
      <c r="H192" s="24">
        <v>6</v>
      </c>
    </row>
    <row r="193" spans="1:8" hidden="1">
      <c r="A193" s="32"/>
      <c r="B193" s="32"/>
      <c r="C193" s="33" t="e">
        <f t="shared" si="5"/>
        <v>#N/A</v>
      </c>
      <c r="D193" s="18">
        <v>202401281</v>
      </c>
      <c r="E193">
        <v>26</v>
      </c>
      <c r="F193" t="e">
        <f>Tabela1[[#This Row],[Total de jovens na turma ]]*3</f>
        <v>#N/A</v>
      </c>
      <c r="G193" s="37" t="e">
        <f t="shared" si="6"/>
        <v>#N/A</v>
      </c>
      <c r="H193" s="24">
        <v>6</v>
      </c>
    </row>
    <row r="194" spans="1:8" hidden="1">
      <c r="A194" s="32"/>
      <c r="B194" s="32"/>
      <c r="C194" s="33" t="e">
        <f t="shared" si="5"/>
        <v>#N/A</v>
      </c>
      <c r="D194" s="19">
        <v>202400990</v>
      </c>
      <c r="E194">
        <v>30</v>
      </c>
      <c r="F194" t="e">
        <f>Tabela1[[#This Row],[Total de jovens na turma ]]*3</f>
        <v>#N/A</v>
      </c>
      <c r="G194" s="37" t="e">
        <f t="shared" si="6"/>
        <v>#N/A</v>
      </c>
      <c r="H194" s="24">
        <v>6</v>
      </c>
    </row>
    <row r="195" spans="1:8" hidden="1">
      <c r="A195" s="32"/>
      <c r="B195" s="32"/>
      <c r="C195" s="33" t="e">
        <f t="shared" si="5"/>
        <v>#N/A</v>
      </c>
      <c r="D195" s="18">
        <v>202401281</v>
      </c>
      <c r="E195">
        <v>26</v>
      </c>
      <c r="F195" t="e">
        <f>Tabela1[[#This Row],[Total de jovens na turma ]]*3</f>
        <v>#N/A</v>
      </c>
      <c r="G195" s="37" t="e">
        <f t="shared" si="6"/>
        <v>#N/A</v>
      </c>
      <c r="H195" s="24">
        <v>6</v>
      </c>
    </row>
    <row r="196" spans="1:8" hidden="1">
      <c r="A196" s="32"/>
      <c r="B196" s="32"/>
      <c r="C196" s="33" t="e">
        <f t="shared" si="5"/>
        <v>#N/A</v>
      </c>
      <c r="D196" s="19">
        <v>202401281</v>
      </c>
      <c r="E196">
        <v>26</v>
      </c>
      <c r="F196" t="e">
        <f>Tabela1[[#This Row],[Total de jovens na turma ]]*3</f>
        <v>#N/A</v>
      </c>
      <c r="G196" s="37" t="e">
        <f t="shared" si="6"/>
        <v>#N/A</v>
      </c>
      <c r="H196" s="24">
        <v>6</v>
      </c>
    </row>
    <row r="197" spans="1:8" hidden="1">
      <c r="A197" s="32"/>
      <c r="B197" s="32"/>
      <c r="C197" s="33" t="e">
        <f t="shared" ref="C197:C260" si="7">VLOOKUP(A197,D:E,2,0)</f>
        <v>#N/A</v>
      </c>
      <c r="D197" s="18">
        <v>202401281</v>
      </c>
      <c r="E197">
        <v>26</v>
      </c>
      <c r="F197" t="e">
        <f>Tabela1[[#This Row],[Total de jovens na turma ]]*3</f>
        <v>#N/A</v>
      </c>
      <c r="G197" s="37" t="e">
        <f t="shared" si="6"/>
        <v>#N/A</v>
      </c>
      <c r="H197" s="24">
        <v>6</v>
      </c>
    </row>
    <row r="198" spans="1:8" hidden="1">
      <c r="A198" s="32"/>
      <c r="B198" s="32"/>
      <c r="C198" s="33" t="e">
        <f t="shared" si="7"/>
        <v>#N/A</v>
      </c>
      <c r="D198" s="19">
        <v>202400991</v>
      </c>
      <c r="E198">
        <v>28</v>
      </c>
      <c r="F198" t="e">
        <f>Tabela1[[#This Row],[Total de jovens na turma ]]*3</f>
        <v>#N/A</v>
      </c>
      <c r="G198" s="37" t="e">
        <f t="shared" si="6"/>
        <v>#N/A</v>
      </c>
      <c r="H198" s="24">
        <v>6</v>
      </c>
    </row>
    <row r="199" spans="1:8" hidden="1">
      <c r="A199" s="32"/>
      <c r="B199" s="32"/>
      <c r="C199" s="33" t="e">
        <f t="shared" si="7"/>
        <v>#N/A</v>
      </c>
      <c r="D199" s="18">
        <v>202401099</v>
      </c>
      <c r="E199">
        <v>18</v>
      </c>
      <c r="F199" t="e">
        <f>Tabela1[[#This Row],[Total de jovens na turma ]]*3</f>
        <v>#N/A</v>
      </c>
      <c r="G199" s="37" t="e">
        <f t="shared" ref="G199:G262" si="8">F199/24</f>
        <v>#N/A</v>
      </c>
      <c r="H199" s="24">
        <v>6</v>
      </c>
    </row>
    <row r="200" spans="1:8" hidden="1">
      <c r="A200" s="32"/>
      <c r="B200" s="32"/>
      <c r="C200" s="33" t="e">
        <f t="shared" si="7"/>
        <v>#N/A</v>
      </c>
      <c r="D200" s="19">
        <v>202400988</v>
      </c>
      <c r="E200">
        <v>37</v>
      </c>
      <c r="F200" t="e">
        <f>Tabela1[[#This Row],[Total de jovens na turma ]]*3</f>
        <v>#N/A</v>
      </c>
      <c r="G200" s="37" t="e">
        <f t="shared" si="8"/>
        <v>#N/A</v>
      </c>
      <c r="H200" s="24">
        <v>6</v>
      </c>
    </row>
    <row r="201" spans="1:8" hidden="1">
      <c r="A201" s="32"/>
      <c r="B201" s="32"/>
      <c r="C201" s="33" t="e">
        <f t="shared" si="7"/>
        <v>#N/A</v>
      </c>
      <c r="D201" s="18">
        <v>202401281</v>
      </c>
      <c r="E201">
        <v>26</v>
      </c>
      <c r="F201" t="e">
        <f>Tabela1[[#This Row],[Total de jovens na turma ]]*3</f>
        <v>#N/A</v>
      </c>
      <c r="G201" s="37" t="e">
        <f t="shared" si="8"/>
        <v>#N/A</v>
      </c>
      <c r="H201" s="24">
        <v>6</v>
      </c>
    </row>
    <row r="202" spans="1:8" hidden="1">
      <c r="A202" s="32"/>
      <c r="B202" s="32"/>
      <c r="C202" s="33" t="e">
        <f t="shared" si="7"/>
        <v>#N/A</v>
      </c>
      <c r="D202" s="19">
        <v>202401281</v>
      </c>
      <c r="E202">
        <v>26</v>
      </c>
      <c r="F202" t="e">
        <f>Tabela1[[#This Row],[Total de jovens na turma ]]*3</f>
        <v>#N/A</v>
      </c>
      <c r="G202" s="37" t="e">
        <f t="shared" si="8"/>
        <v>#N/A</v>
      </c>
      <c r="H202" s="24">
        <v>6</v>
      </c>
    </row>
    <row r="203" spans="1:8" hidden="1">
      <c r="A203" s="32"/>
      <c r="B203" s="32"/>
      <c r="C203" s="33" t="e">
        <f t="shared" si="7"/>
        <v>#N/A</v>
      </c>
      <c r="D203" s="18">
        <v>202400448</v>
      </c>
      <c r="E203">
        <v>1</v>
      </c>
      <c r="F203" t="e">
        <f>Tabela1[[#This Row],[Total de jovens na turma ]]*3</f>
        <v>#N/A</v>
      </c>
      <c r="G203" s="37" t="e">
        <f t="shared" si="8"/>
        <v>#N/A</v>
      </c>
      <c r="H203" s="24">
        <v>6</v>
      </c>
    </row>
    <row r="204" spans="1:8" hidden="1">
      <c r="A204" s="32"/>
      <c r="B204" s="32"/>
      <c r="C204" s="33" t="e">
        <f t="shared" si="7"/>
        <v>#N/A</v>
      </c>
      <c r="D204" s="19">
        <v>202500029</v>
      </c>
      <c r="E204">
        <v>31</v>
      </c>
      <c r="F204" t="e">
        <f>Tabela1[[#This Row],[Total de jovens na turma ]]*3</f>
        <v>#N/A</v>
      </c>
      <c r="G204" s="37" t="e">
        <f t="shared" si="8"/>
        <v>#N/A</v>
      </c>
      <c r="H204" s="24">
        <v>6</v>
      </c>
    </row>
    <row r="205" spans="1:8" hidden="1">
      <c r="A205" s="32"/>
      <c r="B205" s="32"/>
      <c r="C205" s="33" t="e">
        <f t="shared" si="7"/>
        <v>#N/A</v>
      </c>
      <c r="D205" s="18">
        <v>202500029</v>
      </c>
      <c r="E205">
        <v>31</v>
      </c>
      <c r="F205" t="e">
        <f>Tabela1[[#This Row],[Total de jovens na turma ]]*3</f>
        <v>#N/A</v>
      </c>
      <c r="G205" s="37" t="e">
        <f t="shared" si="8"/>
        <v>#N/A</v>
      </c>
      <c r="H205" s="24">
        <v>6</v>
      </c>
    </row>
    <row r="206" spans="1:8" hidden="1">
      <c r="A206" s="32"/>
      <c r="B206" s="32"/>
      <c r="C206" s="33" t="e">
        <f t="shared" si="7"/>
        <v>#N/A</v>
      </c>
      <c r="D206" s="19">
        <v>202500029</v>
      </c>
      <c r="E206">
        <v>31</v>
      </c>
      <c r="F206" t="e">
        <f>Tabela1[[#This Row],[Total de jovens na turma ]]*3</f>
        <v>#N/A</v>
      </c>
      <c r="G206" s="37" t="e">
        <f t="shared" si="8"/>
        <v>#N/A</v>
      </c>
      <c r="H206" s="24">
        <v>6</v>
      </c>
    </row>
    <row r="207" spans="1:8" hidden="1">
      <c r="A207" s="32"/>
      <c r="B207" s="32"/>
      <c r="C207" s="33" t="e">
        <f t="shared" si="7"/>
        <v>#N/A</v>
      </c>
      <c r="D207" s="18">
        <v>202500029</v>
      </c>
      <c r="E207">
        <v>31</v>
      </c>
      <c r="F207" t="e">
        <f>Tabela1[[#This Row],[Total de jovens na turma ]]*3</f>
        <v>#N/A</v>
      </c>
      <c r="G207" s="37" t="e">
        <f t="shared" si="8"/>
        <v>#N/A</v>
      </c>
      <c r="H207" s="24">
        <v>6</v>
      </c>
    </row>
    <row r="208" spans="1:8" hidden="1">
      <c r="A208" s="32"/>
      <c r="B208" s="32"/>
      <c r="C208" s="33" t="e">
        <f t="shared" si="7"/>
        <v>#N/A</v>
      </c>
      <c r="D208" s="19">
        <v>202500029</v>
      </c>
      <c r="E208">
        <v>31</v>
      </c>
      <c r="F208" t="e">
        <f>Tabela1[[#This Row],[Total de jovens na turma ]]*3</f>
        <v>#N/A</v>
      </c>
      <c r="G208" s="37" t="e">
        <f t="shared" si="8"/>
        <v>#N/A</v>
      </c>
      <c r="H208" s="24">
        <v>6</v>
      </c>
    </row>
    <row r="209" spans="1:8" hidden="1">
      <c r="A209" s="32"/>
      <c r="B209" s="32"/>
      <c r="C209" s="33" t="e">
        <f t="shared" si="7"/>
        <v>#N/A</v>
      </c>
      <c r="D209" s="18">
        <v>202500029</v>
      </c>
      <c r="E209">
        <v>31</v>
      </c>
      <c r="F209" t="e">
        <f>Tabela1[[#This Row],[Total de jovens na turma ]]*3</f>
        <v>#N/A</v>
      </c>
      <c r="G209" s="37" t="e">
        <f t="shared" si="8"/>
        <v>#N/A</v>
      </c>
      <c r="H209" s="24">
        <v>6</v>
      </c>
    </row>
    <row r="210" spans="1:8" hidden="1">
      <c r="A210" s="32"/>
      <c r="B210" s="32"/>
      <c r="C210" s="33" t="e">
        <f t="shared" si="7"/>
        <v>#N/A</v>
      </c>
      <c r="D210" s="19">
        <v>202500029</v>
      </c>
      <c r="E210">
        <v>31</v>
      </c>
      <c r="F210" t="e">
        <f>Tabela1[[#This Row],[Total de jovens na turma ]]*3</f>
        <v>#N/A</v>
      </c>
      <c r="G210" s="37" t="e">
        <f t="shared" si="8"/>
        <v>#N/A</v>
      </c>
      <c r="H210" s="24">
        <v>6</v>
      </c>
    </row>
    <row r="211" spans="1:8" hidden="1">
      <c r="A211" s="32"/>
      <c r="B211" s="32"/>
      <c r="C211" s="33" t="e">
        <f t="shared" si="7"/>
        <v>#N/A</v>
      </c>
      <c r="D211" s="18">
        <v>202500029</v>
      </c>
      <c r="E211">
        <v>31</v>
      </c>
      <c r="F211" t="e">
        <f>Tabela1[[#This Row],[Total de jovens na turma ]]*3</f>
        <v>#N/A</v>
      </c>
      <c r="G211" s="37" t="e">
        <f t="shared" si="8"/>
        <v>#N/A</v>
      </c>
      <c r="H211" s="24">
        <v>6</v>
      </c>
    </row>
    <row r="212" spans="1:8" hidden="1">
      <c r="A212" s="32"/>
      <c r="B212" s="32"/>
      <c r="C212" s="33" t="e">
        <f t="shared" si="7"/>
        <v>#N/A</v>
      </c>
      <c r="D212" s="19">
        <v>202500029</v>
      </c>
      <c r="E212">
        <v>31</v>
      </c>
      <c r="F212" t="e">
        <f>Tabela1[[#This Row],[Total de jovens na turma ]]*3</f>
        <v>#N/A</v>
      </c>
      <c r="G212" s="37" t="e">
        <f t="shared" si="8"/>
        <v>#N/A</v>
      </c>
      <c r="H212" s="24">
        <v>6</v>
      </c>
    </row>
    <row r="213" spans="1:8" hidden="1">
      <c r="A213" s="32"/>
      <c r="B213" s="32"/>
      <c r="C213" s="33" t="e">
        <f t="shared" si="7"/>
        <v>#N/A</v>
      </c>
      <c r="D213" s="18">
        <v>202500029</v>
      </c>
      <c r="E213">
        <v>31</v>
      </c>
      <c r="F213" t="e">
        <f>Tabela1[[#This Row],[Total de jovens na turma ]]*3</f>
        <v>#N/A</v>
      </c>
      <c r="G213" s="37" t="e">
        <f t="shared" si="8"/>
        <v>#N/A</v>
      </c>
      <c r="H213" s="24">
        <v>6</v>
      </c>
    </row>
    <row r="214" spans="1:8" hidden="1">
      <c r="A214" s="32"/>
      <c r="B214" s="32"/>
      <c r="C214" s="33" t="e">
        <f t="shared" si="7"/>
        <v>#N/A</v>
      </c>
      <c r="D214" s="19">
        <v>202500029</v>
      </c>
      <c r="E214">
        <v>31</v>
      </c>
      <c r="F214" t="e">
        <f>Tabela1[[#This Row],[Total de jovens na turma ]]*3</f>
        <v>#N/A</v>
      </c>
      <c r="G214" s="37" t="e">
        <f t="shared" si="8"/>
        <v>#N/A</v>
      </c>
      <c r="H214" s="24">
        <v>6</v>
      </c>
    </row>
    <row r="215" spans="1:8" hidden="1">
      <c r="A215" s="32"/>
      <c r="B215" s="32"/>
      <c r="C215" s="33" t="e">
        <f t="shared" si="7"/>
        <v>#N/A</v>
      </c>
      <c r="D215" s="18">
        <v>202500029</v>
      </c>
      <c r="E215">
        <v>31</v>
      </c>
      <c r="F215" t="e">
        <f>Tabela1[[#This Row],[Total de jovens na turma ]]*3</f>
        <v>#N/A</v>
      </c>
      <c r="G215" s="37" t="e">
        <f t="shared" si="8"/>
        <v>#N/A</v>
      </c>
      <c r="H215" s="24">
        <v>6</v>
      </c>
    </row>
    <row r="216" spans="1:8" hidden="1">
      <c r="A216" s="32"/>
      <c r="B216" s="32"/>
      <c r="C216" s="33" t="e">
        <f t="shared" si="7"/>
        <v>#N/A</v>
      </c>
      <c r="D216" s="19">
        <v>202500029</v>
      </c>
      <c r="E216">
        <v>31</v>
      </c>
      <c r="F216" t="e">
        <f>Tabela1[[#This Row],[Total de jovens na turma ]]*3</f>
        <v>#N/A</v>
      </c>
      <c r="G216" s="37" t="e">
        <f t="shared" si="8"/>
        <v>#N/A</v>
      </c>
      <c r="H216" s="24">
        <v>6</v>
      </c>
    </row>
    <row r="217" spans="1:8" hidden="1">
      <c r="A217" s="32"/>
      <c r="B217" s="32"/>
      <c r="C217" s="33" t="e">
        <f t="shared" si="7"/>
        <v>#N/A</v>
      </c>
      <c r="D217" s="18">
        <v>202500029</v>
      </c>
      <c r="E217">
        <v>31</v>
      </c>
      <c r="F217" t="e">
        <f>Tabela1[[#This Row],[Total de jovens na turma ]]*3</f>
        <v>#N/A</v>
      </c>
      <c r="G217" s="37" t="e">
        <f t="shared" si="8"/>
        <v>#N/A</v>
      </c>
      <c r="H217" s="24">
        <v>6</v>
      </c>
    </row>
    <row r="218" spans="1:8" hidden="1">
      <c r="A218" s="32"/>
      <c r="B218" s="32"/>
      <c r="C218" s="33" t="e">
        <f t="shared" si="7"/>
        <v>#N/A</v>
      </c>
      <c r="D218" s="19">
        <v>202500029</v>
      </c>
      <c r="E218">
        <v>31</v>
      </c>
      <c r="F218" t="e">
        <f>Tabela1[[#This Row],[Total de jovens na turma ]]*3</f>
        <v>#N/A</v>
      </c>
      <c r="G218" s="37" t="e">
        <f t="shared" si="8"/>
        <v>#N/A</v>
      </c>
      <c r="H218" s="24">
        <v>6</v>
      </c>
    </row>
    <row r="219" spans="1:8" hidden="1">
      <c r="A219" s="32"/>
      <c r="B219" s="32"/>
      <c r="C219" s="33" t="e">
        <f t="shared" si="7"/>
        <v>#N/A</v>
      </c>
      <c r="D219" s="18">
        <v>202500029</v>
      </c>
      <c r="E219">
        <v>31</v>
      </c>
      <c r="F219" t="e">
        <f>Tabela1[[#This Row],[Total de jovens na turma ]]*3</f>
        <v>#N/A</v>
      </c>
      <c r="G219" s="37" t="e">
        <f t="shared" si="8"/>
        <v>#N/A</v>
      </c>
      <c r="H219" s="24">
        <v>6</v>
      </c>
    </row>
    <row r="220" spans="1:8" hidden="1">
      <c r="A220" s="32"/>
      <c r="B220" s="32"/>
      <c r="C220" s="33" t="e">
        <f t="shared" si="7"/>
        <v>#N/A</v>
      </c>
      <c r="D220" s="19">
        <v>202500029</v>
      </c>
      <c r="E220">
        <v>31</v>
      </c>
      <c r="F220" t="e">
        <f>Tabela1[[#This Row],[Total de jovens na turma ]]*3</f>
        <v>#N/A</v>
      </c>
      <c r="G220" s="37" t="e">
        <f t="shared" si="8"/>
        <v>#N/A</v>
      </c>
      <c r="H220" s="24">
        <v>6</v>
      </c>
    </row>
    <row r="221" spans="1:8" hidden="1">
      <c r="A221" s="32"/>
      <c r="B221" s="32"/>
      <c r="C221" s="33" t="e">
        <f t="shared" si="7"/>
        <v>#N/A</v>
      </c>
      <c r="D221" s="18">
        <v>202500029</v>
      </c>
      <c r="E221">
        <v>31</v>
      </c>
      <c r="F221" t="e">
        <f>Tabela1[[#This Row],[Total de jovens na turma ]]*3</f>
        <v>#N/A</v>
      </c>
      <c r="G221" s="37" t="e">
        <f t="shared" si="8"/>
        <v>#N/A</v>
      </c>
      <c r="H221" s="24">
        <v>6</v>
      </c>
    </row>
    <row r="222" spans="1:8" hidden="1">
      <c r="A222" s="32"/>
      <c r="B222" s="32"/>
      <c r="C222" s="33" t="e">
        <f t="shared" si="7"/>
        <v>#N/A</v>
      </c>
      <c r="D222" s="19">
        <v>202500029</v>
      </c>
      <c r="E222">
        <v>31</v>
      </c>
      <c r="F222" t="e">
        <f>Tabela1[[#This Row],[Total de jovens na turma ]]*3</f>
        <v>#N/A</v>
      </c>
      <c r="G222" s="37" t="e">
        <f t="shared" si="8"/>
        <v>#N/A</v>
      </c>
      <c r="H222" s="24">
        <v>6</v>
      </c>
    </row>
    <row r="223" spans="1:8" hidden="1">
      <c r="A223" s="32"/>
      <c r="B223" s="32"/>
      <c r="C223" s="33" t="e">
        <f t="shared" si="7"/>
        <v>#N/A</v>
      </c>
      <c r="D223" s="18">
        <v>202500029</v>
      </c>
      <c r="E223">
        <v>31</v>
      </c>
      <c r="F223" t="e">
        <f>Tabela1[[#This Row],[Total de jovens na turma ]]*3</f>
        <v>#N/A</v>
      </c>
      <c r="G223" s="37" t="e">
        <f t="shared" si="8"/>
        <v>#N/A</v>
      </c>
      <c r="H223" s="24">
        <v>6</v>
      </c>
    </row>
    <row r="224" spans="1:8" hidden="1">
      <c r="A224" s="32"/>
      <c r="B224" s="32"/>
      <c r="C224" s="33" t="e">
        <f t="shared" si="7"/>
        <v>#N/A</v>
      </c>
      <c r="D224" s="19">
        <v>202500029</v>
      </c>
      <c r="E224">
        <v>31</v>
      </c>
      <c r="F224" t="e">
        <f>Tabela1[[#This Row],[Total de jovens na turma ]]*3</f>
        <v>#N/A</v>
      </c>
      <c r="G224" s="37" t="e">
        <f t="shared" si="8"/>
        <v>#N/A</v>
      </c>
      <c r="H224" s="24">
        <v>6</v>
      </c>
    </row>
    <row r="225" spans="1:8" hidden="1">
      <c r="A225" s="32"/>
      <c r="B225" s="32"/>
      <c r="C225" s="33" t="e">
        <f t="shared" si="7"/>
        <v>#N/A</v>
      </c>
      <c r="D225" s="18">
        <v>202500029</v>
      </c>
      <c r="E225">
        <v>31</v>
      </c>
      <c r="F225" t="e">
        <f>Tabela1[[#This Row],[Total de jovens na turma ]]*3</f>
        <v>#N/A</v>
      </c>
      <c r="G225" s="37" t="e">
        <f t="shared" si="8"/>
        <v>#N/A</v>
      </c>
      <c r="H225" s="24">
        <v>6</v>
      </c>
    </row>
    <row r="226" spans="1:8" hidden="1">
      <c r="A226" s="32"/>
      <c r="B226" s="32"/>
      <c r="C226" s="33" t="e">
        <f t="shared" si="7"/>
        <v>#N/A</v>
      </c>
      <c r="D226" s="19">
        <v>202500029</v>
      </c>
      <c r="E226">
        <v>31</v>
      </c>
      <c r="F226" t="e">
        <f>Tabela1[[#This Row],[Total de jovens na turma ]]*3</f>
        <v>#N/A</v>
      </c>
      <c r="G226" s="37" t="e">
        <f t="shared" si="8"/>
        <v>#N/A</v>
      </c>
      <c r="H226" s="24">
        <v>6</v>
      </c>
    </row>
    <row r="227" spans="1:8" hidden="1">
      <c r="A227" s="32"/>
      <c r="B227" s="32"/>
      <c r="C227" s="33" t="e">
        <f t="shared" si="7"/>
        <v>#N/A</v>
      </c>
      <c r="D227" s="18">
        <v>202500029</v>
      </c>
      <c r="E227">
        <v>31</v>
      </c>
      <c r="F227" t="e">
        <f>Tabela1[[#This Row],[Total de jovens na turma ]]*3</f>
        <v>#N/A</v>
      </c>
      <c r="G227" s="37" t="e">
        <f t="shared" si="8"/>
        <v>#N/A</v>
      </c>
      <c r="H227" s="24">
        <v>6</v>
      </c>
    </row>
    <row r="228" spans="1:8" hidden="1">
      <c r="A228" s="32"/>
      <c r="B228" s="32"/>
      <c r="C228" s="33" t="e">
        <f t="shared" si="7"/>
        <v>#N/A</v>
      </c>
      <c r="D228" s="19">
        <v>202500029</v>
      </c>
      <c r="E228">
        <v>31</v>
      </c>
      <c r="F228" t="e">
        <f>Tabela1[[#This Row],[Total de jovens na turma ]]*3</f>
        <v>#N/A</v>
      </c>
      <c r="G228" s="37" t="e">
        <f t="shared" si="8"/>
        <v>#N/A</v>
      </c>
      <c r="H228" s="24">
        <v>6</v>
      </c>
    </row>
    <row r="229" spans="1:8" hidden="1">
      <c r="A229" s="32"/>
      <c r="B229" s="32"/>
      <c r="C229" s="33" t="e">
        <f t="shared" si="7"/>
        <v>#N/A</v>
      </c>
      <c r="D229" s="18">
        <v>202500029</v>
      </c>
      <c r="E229">
        <v>31</v>
      </c>
      <c r="F229" t="e">
        <f>Tabela1[[#This Row],[Total de jovens na turma ]]*3</f>
        <v>#N/A</v>
      </c>
      <c r="G229" s="37" t="e">
        <f t="shared" si="8"/>
        <v>#N/A</v>
      </c>
      <c r="H229" s="24">
        <v>6</v>
      </c>
    </row>
    <row r="230" spans="1:8" hidden="1">
      <c r="A230" s="32"/>
      <c r="B230" s="32"/>
      <c r="C230" s="33" t="e">
        <f t="shared" si="7"/>
        <v>#N/A</v>
      </c>
      <c r="D230" s="19">
        <v>202500029</v>
      </c>
      <c r="E230">
        <v>31</v>
      </c>
      <c r="F230" t="e">
        <f>Tabela1[[#This Row],[Total de jovens na turma ]]*3</f>
        <v>#N/A</v>
      </c>
      <c r="G230" s="37" t="e">
        <f t="shared" si="8"/>
        <v>#N/A</v>
      </c>
      <c r="H230" s="24">
        <v>6</v>
      </c>
    </row>
    <row r="231" spans="1:8" hidden="1">
      <c r="A231" s="32"/>
      <c r="B231" s="32"/>
      <c r="C231" s="33" t="e">
        <f t="shared" si="7"/>
        <v>#N/A</v>
      </c>
      <c r="D231" s="18">
        <v>202500029</v>
      </c>
      <c r="E231">
        <v>31</v>
      </c>
      <c r="F231" t="e">
        <f>Tabela1[[#This Row],[Total de jovens na turma ]]*3</f>
        <v>#N/A</v>
      </c>
      <c r="G231" s="37" t="e">
        <f t="shared" si="8"/>
        <v>#N/A</v>
      </c>
      <c r="H231" s="24">
        <v>6</v>
      </c>
    </row>
    <row r="232" spans="1:8" hidden="1">
      <c r="A232" s="32"/>
      <c r="B232" s="32"/>
      <c r="C232" s="33" t="e">
        <f t="shared" si="7"/>
        <v>#N/A</v>
      </c>
      <c r="D232" s="19">
        <v>202500029</v>
      </c>
      <c r="E232">
        <v>31</v>
      </c>
      <c r="F232" t="e">
        <f>Tabela1[[#This Row],[Total de jovens na turma ]]*3</f>
        <v>#N/A</v>
      </c>
      <c r="G232" s="37" t="e">
        <f t="shared" si="8"/>
        <v>#N/A</v>
      </c>
      <c r="H232" s="24">
        <v>6</v>
      </c>
    </row>
    <row r="233" spans="1:8" hidden="1">
      <c r="A233" s="32"/>
      <c r="B233" s="32"/>
      <c r="C233" s="33" t="e">
        <f t="shared" si="7"/>
        <v>#N/A</v>
      </c>
      <c r="D233" s="18">
        <v>202500029</v>
      </c>
      <c r="E233">
        <v>31</v>
      </c>
      <c r="F233" t="e">
        <f>Tabela1[[#This Row],[Total de jovens na turma ]]*3</f>
        <v>#N/A</v>
      </c>
      <c r="G233" s="37" t="e">
        <f t="shared" si="8"/>
        <v>#N/A</v>
      </c>
      <c r="H233" s="24">
        <v>6</v>
      </c>
    </row>
    <row r="234" spans="1:8" hidden="1">
      <c r="A234" s="32"/>
      <c r="B234" s="32"/>
      <c r="C234" s="33" t="e">
        <f t="shared" si="7"/>
        <v>#N/A</v>
      </c>
      <c r="D234" s="19">
        <v>202500029</v>
      </c>
      <c r="E234">
        <v>31</v>
      </c>
      <c r="F234" t="e">
        <f>Tabela1[[#This Row],[Total de jovens na turma ]]*3</f>
        <v>#N/A</v>
      </c>
      <c r="G234" s="37" t="e">
        <f t="shared" si="8"/>
        <v>#N/A</v>
      </c>
      <c r="H234" s="24">
        <v>6</v>
      </c>
    </row>
    <row r="235" spans="1:8" hidden="1">
      <c r="A235" s="32"/>
      <c r="B235" s="32"/>
      <c r="C235" s="33" t="e">
        <f t="shared" si="7"/>
        <v>#N/A</v>
      </c>
      <c r="D235" s="18">
        <v>202500030</v>
      </c>
      <c r="E235">
        <v>31</v>
      </c>
      <c r="F235" t="e">
        <f>Tabela1[[#This Row],[Total de jovens na turma ]]*3</f>
        <v>#N/A</v>
      </c>
      <c r="G235" s="37" t="e">
        <f t="shared" si="8"/>
        <v>#N/A</v>
      </c>
      <c r="H235" s="24">
        <v>6</v>
      </c>
    </row>
    <row r="236" spans="1:8" hidden="1">
      <c r="A236" s="32"/>
      <c r="B236" s="32"/>
      <c r="C236" s="33" t="e">
        <f t="shared" si="7"/>
        <v>#N/A</v>
      </c>
      <c r="D236" s="19">
        <v>202500030</v>
      </c>
      <c r="E236">
        <v>31</v>
      </c>
      <c r="F236" t="e">
        <f>Tabela1[[#This Row],[Total de jovens na turma ]]*3</f>
        <v>#N/A</v>
      </c>
      <c r="G236" s="37" t="e">
        <f t="shared" si="8"/>
        <v>#N/A</v>
      </c>
      <c r="H236" s="24">
        <v>6</v>
      </c>
    </row>
    <row r="237" spans="1:8" hidden="1">
      <c r="A237" s="32"/>
      <c r="B237" s="32"/>
      <c r="C237" s="33" t="e">
        <f t="shared" si="7"/>
        <v>#N/A</v>
      </c>
      <c r="D237" s="18">
        <v>202500030</v>
      </c>
      <c r="E237">
        <v>31</v>
      </c>
      <c r="F237" t="e">
        <f>Tabela1[[#This Row],[Total de jovens na turma ]]*3</f>
        <v>#N/A</v>
      </c>
      <c r="G237" s="37" t="e">
        <f t="shared" si="8"/>
        <v>#N/A</v>
      </c>
      <c r="H237" s="24">
        <v>6</v>
      </c>
    </row>
    <row r="238" spans="1:8" hidden="1">
      <c r="A238" s="32"/>
      <c r="B238" s="32"/>
      <c r="C238" s="33" t="e">
        <f t="shared" si="7"/>
        <v>#N/A</v>
      </c>
      <c r="D238" s="19">
        <v>202500030</v>
      </c>
      <c r="E238">
        <v>31</v>
      </c>
      <c r="F238" t="e">
        <f>Tabela1[[#This Row],[Total de jovens na turma ]]*3</f>
        <v>#N/A</v>
      </c>
      <c r="G238" s="37" t="e">
        <f t="shared" si="8"/>
        <v>#N/A</v>
      </c>
      <c r="H238" s="24">
        <v>6</v>
      </c>
    </row>
    <row r="239" spans="1:8" hidden="1">
      <c r="A239" s="32"/>
      <c r="B239" s="32"/>
      <c r="C239" s="33" t="e">
        <f t="shared" si="7"/>
        <v>#N/A</v>
      </c>
      <c r="D239" s="18">
        <v>202500030</v>
      </c>
      <c r="E239">
        <v>31</v>
      </c>
      <c r="F239" t="e">
        <f>Tabela1[[#This Row],[Total de jovens na turma ]]*3</f>
        <v>#N/A</v>
      </c>
      <c r="G239" s="37" t="e">
        <f t="shared" si="8"/>
        <v>#N/A</v>
      </c>
      <c r="H239" s="24">
        <v>6</v>
      </c>
    </row>
    <row r="240" spans="1:8" hidden="1">
      <c r="A240" s="32"/>
      <c r="B240" s="32"/>
      <c r="C240" s="33" t="e">
        <f t="shared" si="7"/>
        <v>#N/A</v>
      </c>
      <c r="D240" s="19">
        <v>202500030</v>
      </c>
      <c r="E240">
        <v>31</v>
      </c>
      <c r="F240" t="e">
        <f>Tabela1[[#This Row],[Total de jovens na turma ]]*3</f>
        <v>#N/A</v>
      </c>
      <c r="G240" s="37" t="e">
        <f t="shared" si="8"/>
        <v>#N/A</v>
      </c>
      <c r="H240" s="24">
        <v>6</v>
      </c>
    </row>
    <row r="241" spans="1:8" hidden="1">
      <c r="A241" s="32"/>
      <c r="B241" s="32"/>
      <c r="C241" s="33" t="e">
        <f t="shared" si="7"/>
        <v>#N/A</v>
      </c>
      <c r="D241" s="18">
        <v>202500030</v>
      </c>
      <c r="E241">
        <v>31</v>
      </c>
      <c r="F241" t="e">
        <f>Tabela1[[#This Row],[Total de jovens na turma ]]*3</f>
        <v>#N/A</v>
      </c>
      <c r="G241" s="37" t="e">
        <f t="shared" si="8"/>
        <v>#N/A</v>
      </c>
      <c r="H241" s="24">
        <v>6</v>
      </c>
    </row>
    <row r="242" spans="1:8" hidden="1">
      <c r="A242" s="32"/>
      <c r="B242" s="32"/>
      <c r="C242" s="33" t="e">
        <f t="shared" si="7"/>
        <v>#N/A</v>
      </c>
      <c r="D242" s="19">
        <v>202500030</v>
      </c>
      <c r="E242">
        <v>31</v>
      </c>
      <c r="F242" t="e">
        <f>Tabela1[[#This Row],[Total de jovens na turma ]]*3</f>
        <v>#N/A</v>
      </c>
      <c r="G242" s="37" t="e">
        <f t="shared" si="8"/>
        <v>#N/A</v>
      </c>
      <c r="H242" s="24">
        <v>6</v>
      </c>
    </row>
    <row r="243" spans="1:8" hidden="1">
      <c r="A243" s="32"/>
      <c r="B243" s="32"/>
      <c r="C243" s="33" t="e">
        <f t="shared" si="7"/>
        <v>#N/A</v>
      </c>
      <c r="D243" s="18">
        <v>202500030</v>
      </c>
      <c r="E243">
        <v>31</v>
      </c>
      <c r="F243" t="e">
        <f>Tabela1[[#This Row],[Total de jovens na turma ]]*3</f>
        <v>#N/A</v>
      </c>
      <c r="G243" s="37" t="e">
        <f t="shared" si="8"/>
        <v>#N/A</v>
      </c>
      <c r="H243" s="24">
        <v>6</v>
      </c>
    </row>
    <row r="244" spans="1:8" hidden="1">
      <c r="A244" s="32"/>
      <c r="B244" s="32"/>
      <c r="C244" s="33" t="e">
        <f t="shared" si="7"/>
        <v>#N/A</v>
      </c>
      <c r="D244" s="19">
        <v>202500030</v>
      </c>
      <c r="E244">
        <v>31</v>
      </c>
      <c r="F244" t="e">
        <f>Tabela1[[#This Row],[Total de jovens na turma ]]*3</f>
        <v>#N/A</v>
      </c>
      <c r="G244" s="37" t="e">
        <f t="shared" si="8"/>
        <v>#N/A</v>
      </c>
      <c r="H244" s="24">
        <v>6</v>
      </c>
    </row>
    <row r="245" spans="1:8" hidden="1">
      <c r="A245" s="32"/>
      <c r="B245" s="32"/>
      <c r="C245" s="33" t="e">
        <f t="shared" si="7"/>
        <v>#N/A</v>
      </c>
      <c r="D245" s="18">
        <v>202500030</v>
      </c>
      <c r="E245">
        <v>31</v>
      </c>
      <c r="F245" t="e">
        <f>Tabela1[[#This Row],[Total de jovens na turma ]]*3</f>
        <v>#N/A</v>
      </c>
      <c r="G245" s="37" t="e">
        <f t="shared" si="8"/>
        <v>#N/A</v>
      </c>
      <c r="H245" s="24">
        <v>6</v>
      </c>
    </row>
    <row r="246" spans="1:8" hidden="1">
      <c r="A246" s="32"/>
      <c r="B246" s="32"/>
      <c r="C246" s="33" t="e">
        <f t="shared" si="7"/>
        <v>#N/A</v>
      </c>
      <c r="D246" s="19">
        <v>202500030</v>
      </c>
      <c r="E246">
        <v>31</v>
      </c>
      <c r="F246" t="e">
        <f>Tabela1[[#This Row],[Total de jovens na turma ]]*3</f>
        <v>#N/A</v>
      </c>
      <c r="G246" s="37" t="e">
        <f t="shared" si="8"/>
        <v>#N/A</v>
      </c>
      <c r="H246" s="24">
        <v>6</v>
      </c>
    </row>
    <row r="247" spans="1:8" hidden="1">
      <c r="A247" s="32"/>
      <c r="B247" s="32"/>
      <c r="C247" s="33" t="e">
        <f t="shared" si="7"/>
        <v>#N/A</v>
      </c>
      <c r="D247" s="18">
        <v>202500030</v>
      </c>
      <c r="E247">
        <v>31</v>
      </c>
      <c r="F247" t="e">
        <f>Tabela1[[#This Row],[Total de jovens na turma ]]*3</f>
        <v>#N/A</v>
      </c>
      <c r="G247" s="37" t="e">
        <f t="shared" si="8"/>
        <v>#N/A</v>
      </c>
      <c r="H247" s="24">
        <v>6</v>
      </c>
    </row>
    <row r="248" spans="1:8" hidden="1">
      <c r="A248" s="32"/>
      <c r="B248" s="32"/>
      <c r="C248" s="33" t="e">
        <f t="shared" si="7"/>
        <v>#N/A</v>
      </c>
      <c r="D248" s="19">
        <v>202500030</v>
      </c>
      <c r="E248">
        <v>31</v>
      </c>
      <c r="F248" t="e">
        <f>Tabela1[[#This Row],[Total de jovens na turma ]]*3</f>
        <v>#N/A</v>
      </c>
      <c r="G248" s="37" t="e">
        <f t="shared" si="8"/>
        <v>#N/A</v>
      </c>
      <c r="H248" s="24">
        <v>6</v>
      </c>
    </row>
    <row r="249" spans="1:8" hidden="1">
      <c r="A249" s="32"/>
      <c r="B249" s="32"/>
      <c r="C249" s="33" t="e">
        <f t="shared" si="7"/>
        <v>#N/A</v>
      </c>
      <c r="D249" s="18">
        <v>202500030</v>
      </c>
      <c r="E249">
        <v>31</v>
      </c>
      <c r="F249" t="e">
        <f>Tabela1[[#This Row],[Total de jovens na turma ]]*3</f>
        <v>#N/A</v>
      </c>
      <c r="G249" s="37" t="e">
        <f t="shared" si="8"/>
        <v>#N/A</v>
      </c>
      <c r="H249" s="24">
        <v>6</v>
      </c>
    </row>
    <row r="250" spans="1:8" hidden="1">
      <c r="A250" s="32"/>
      <c r="B250" s="32"/>
      <c r="C250" s="33" t="e">
        <f t="shared" si="7"/>
        <v>#N/A</v>
      </c>
      <c r="D250" s="19">
        <v>202500030</v>
      </c>
      <c r="E250">
        <v>31</v>
      </c>
      <c r="F250" t="e">
        <f>Tabela1[[#This Row],[Total de jovens na turma ]]*3</f>
        <v>#N/A</v>
      </c>
      <c r="G250" s="37" t="e">
        <f t="shared" si="8"/>
        <v>#N/A</v>
      </c>
      <c r="H250" s="24">
        <v>6</v>
      </c>
    </row>
    <row r="251" spans="1:8" hidden="1">
      <c r="A251" s="32"/>
      <c r="B251" s="32"/>
      <c r="C251" s="33" t="e">
        <f t="shared" si="7"/>
        <v>#N/A</v>
      </c>
      <c r="D251" s="18">
        <v>202500030</v>
      </c>
      <c r="E251">
        <v>31</v>
      </c>
      <c r="F251" t="e">
        <f>Tabela1[[#This Row],[Total de jovens na turma ]]*3</f>
        <v>#N/A</v>
      </c>
      <c r="G251" s="37" t="e">
        <f t="shared" si="8"/>
        <v>#N/A</v>
      </c>
      <c r="H251" s="24">
        <v>6</v>
      </c>
    </row>
    <row r="252" spans="1:8" hidden="1">
      <c r="A252" s="32"/>
      <c r="B252" s="32"/>
      <c r="C252" s="33" t="e">
        <f t="shared" si="7"/>
        <v>#N/A</v>
      </c>
      <c r="D252" s="19">
        <v>202500030</v>
      </c>
      <c r="E252">
        <v>31</v>
      </c>
      <c r="F252" t="e">
        <f>Tabela1[[#This Row],[Total de jovens na turma ]]*3</f>
        <v>#N/A</v>
      </c>
      <c r="G252" s="37" t="e">
        <f t="shared" si="8"/>
        <v>#N/A</v>
      </c>
      <c r="H252" s="24">
        <v>6</v>
      </c>
    </row>
    <row r="253" spans="1:8" hidden="1">
      <c r="A253" s="32"/>
      <c r="B253" s="32"/>
      <c r="C253" s="33" t="e">
        <f t="shared" si="7"/>
        <v>#N/A</v>
      </c>
      <c r="D253" s="18">
        <v>202500030</v>
      </c>
      <c r="E253">
        <v>31</v>
      </c>
      <c r="F253" t="e">
        <f>Tabela1[[#This Row],[Total de jovens na turma ]]*3</f>
        <v>#N/A</v>
      </c>
      <c r="G253" s="37" t="e">
        <f t="shared" si="8"/>
        <v>#N/A</v>
      </c>
      <c r="H253" s="24">
        <v>6</v>
      </c>
    </row>
    <row r="254" spans="1:8" hidden="1">
      <c r="A254" s="32"/>
      <c r="B254" s="32"/>
      <c r="C254" s="33" t="e">
        <f t="shared" si="7"/>
        <v>#N/A</v>
      </c>
      <c r="D254" s="19">
        <v>202500030</v>
      </c>
      <c r="E254">
        <v>31</v>
      </c>
      <c r="F254" t="e">
        <f>Tabela1[[#This Row],[Total de jovens na turma ]]*3</f>
        <v>#N/A</v>
      </c>
      <c r="G254" s="37" t="e">
        <f t="shared" si="8"/>
        <v>#N/A</v>
      </c>
      <c r="H254" s="24">
        <v>6</v>
      </c>
    </row>
    <row r="255" spans="1:8" hidden="1">
      <c r="A255" s="32"/>
      <c r="B255" s="32"/>
      <c r="C255" s="33" t="e">
        <f t="shared" si="7"/>
        <v>#N/A</v>
      </c>
      <c r="D255" s="18">
        <v>202500030</v>
      </c>
      <c r="E255">
        <v>31</v>
      </c>
      <c r="F255" t="e">
        <f>Tabela1[[#This Row],[Total de jovens na turma ]]*3</f>
        <v>#N/A</v>
      </c>
      <c r="G255" s="37" t="e">
        <f t="shared" si="8"/>
        <v>#N/A</v>
      </c>
      <c r="H255" s="24">
        <v>6</v>
      </c>
    </row>
    <row r="256" spans="1:8" hidden="1">
      <c r="A256" s="32"/>
      <c r="B256" s="32"/>
      <c r="C256" s="33" t="e">
        <f t="shared" si="7"/>
        <v>#N/A</v>
      </c>
      <c r="D256" s="19">
        <v>202500030</v>
      </c>
      <c r="E256">
        <v>31</v>
      </c>
      <c r="F256" t="e">
        <f>Tabela1[[#This Row],[Total de jovens na turma ]]*3</f>
        <v>#N/A</v>
      </c>
      <c r="G256" s="37" t="e">
        <f t="shared" si="8"/>
        <v>#N/A</v>
      </c>
      <c r="H256" s="24">
        <v>6</v>
      </c>
    </row>
    <row r="257" spans="1:8" hidden="1">
      <c r="A257" s="32"/>
      <c r="B257" s="32"/>
      <c r="C257" s="33" t="e">
        <f t="shared" si="7"/>
        <v>#N/A</v>
      </c>
      <c r="D257" s="18">
        <v>202500030</v>
      </c>
      <c r="E257">
        <v>31</v>
      </c>
      <c r="F257" t="e">
        <f>Tabela1[[#This Row],[Total de jovens na turma ]]*3</f>
        <v>#N/A</v>
      </c>
      <c r="G257" s="37" t="e">
        <f t="shared" si="8"/>
        <v>#N/A</v>
      </c>
      <c r="H257" s="24">
        <v>6</v>
      </c>
    </row>
    <row r="258" spans="1:8" hidden="1">
      <c r="A258" s="32"/>
      <c r="B258" s="32"/>
      <c r="C258" s="33" t="e">
        <f t="shared" si="7"/>
        <v>#N/A</v>
      </c>
      <c r="D258" s="19">
        <v>202500030</v>
      </c>
      <c r="E258">
        <v>31</v>
      </c>
      <c r="F258" t="e">
        <f>Tabela1[[#This Row],[Total de jovens na turma ]]*3</f>
        <v>#N/A</v>
      </c>
      <c r="G258" s="37" t="e">
        <f t="shared" si="8"/>
        <v>#N/A</v>
      </c>
      <c r="H258" s="24">
        <v>6</v>
      </c>
    </row>
    <row r="259" spans="1:8" hidden="1">
      <c r="A259" s="32"/>
      <c r="B259" s="32"/>
      <c r="C259" s="33" t="e">
        <f t="shared" si="7"/>
        <v>#N/A</v>
      </c>
      <c r="D259" s="18">
        <v>202500030</v>
      </c>
      <c r="E259">
        <v>31</v>
      </c>
      <c r="F259" t="e">
        <f>Tabela1[[#This Row],[Total de jovens na turma ]]*3</f>
        <v>#N/A</v>
      </c>
      <c r="G259" s="37" t="e">
        <f t="shared" si="8"/>
        <v>#N/A</v>
      </c>
      <c r="H259" s="24">
        <v>6</v>
      </c>
    </row>
    <row r="260" spans="1:8" hidden="1">
      <c r="A260" s="32"/>
      <c r="B260" s="32"/>
      <c r="C260" s="33" t="e">
        <f t="shared" si="7"/>
        <v>#N/A</v>
      </c>
      <c r="D260" s="19">
        <v>202500030</v>
      </c>
      <c r="E260">
        <v>31</v>
      </c>
      <c r="F260" t="e">
        <f>Tabela1[[#This Row],[Total de jovens na turma ]]*3</f>
        <v>#N/A</v>
      </c>
      <c r="G260" s="37" t="e">
        <f t="shared" si="8"/>
        <v>#N/A</v>
      </c>
      <c r="H260" s="24">
        <v>6</v>
      </c>
    </row>
    <row r="261" spans="1:8" hidden="1">
      <c r="A261" s="32"/>
      <c r="B261" s="32"/>
      <c r="C261" s="33" t="e">
        <f t="shared" ref="C261:C324" si="9">VLOOKUP(A261,D:E,2,0)</f>
        <v>#N/A</v>
      </c>
      <c r="D261" s="18">
        <v>202500030</v>
      </c>
      <c r="E261">
        <v>31</v>
      </c>
      <c r="F261" t="e">
        <f>Tabela1[[#This Row],[Total de jovens na turma ]]*3</f>
        <v>#N/A</v>
      </c>
      <c r="G261" s="37" t="e">
        <f t="shared" si="8"/>
        <v>#N/A</v>
      </c>
      <c r="H261" s="24">
        <v>6</v>
      </c>
    </row>
    <row r="262" spans="1:8" hidden="1">
      <c r="A262" s="32"/>
      <c r="B262" s="32"/>
      <c r="C262" s="33" t="e">
        <f t="shared" si="9"/>
        <v>#N/A</v>
      </c>
      <c r="D262" s="19">
        <v>202500030</v>
      </c>
      <c r="E262">
        <v>31</v>
      </c>
      <c r="F262" t="e">
        <f>Tabela1[[#This Row],[Total de jovens na turma ]]*3</f>
        <v>#N/A</v>
      </c>
      <c r="G262" s="37" t="e">
        <f t="shared" si="8"/>
        <v>#N/A</v>
      </c>
      <c r="H262" s="24">
        <v>6</v>
      </c>
    </row>
    <row r="263" spans="1:8" hidden="1">
      <c r="A263" s="32"/>
      <c r="B263" s="32"/>
      <c r="C263" s="33" t="e">
        <f t="shared" si="9"/>
        <v>#N/A</v>
      </c>
      <c r="D263" s="18">
        <v>202500030</v>
      </c>
      <c r="E263">
        <v>31</v>
      </c>
      <c r="F263" t="e">
        <f>Tabela1[[#This Row],[Total de jovens na turma ]]*3</f>
        <v>#N/A</v>
      </c>
      <c r="G263" s="37" t="e">
        <f t="shared" ref="G263:G326" si="10">F263/24</f>
        <v>#N/A</v>
      </c>
      <c r="H263" s="24">
        <v>6</v>
      </c>
    </row>
    <row r="264" spans="1:8" hidden="1">
      <c r="A264" s="32"/>
      <c r="B264" s="32"/>
      <c r="C264" s="33" t="e">
        <f t="shared" si="9"/>
        <v>#N/A</v>
      </c>
      <c r="D264" s="19">
        <v>202500030</v>
      </c>
      <c r="E264">
        <v>31</v>
      </c>
      <c r="F264" t="e">
        <f>Tabela1[[#This Row],[Total de jovens na turma ]]*3</f>
        <v>#N/A</v>
      </c>
      <c r="G264" s="37" t="e">
        <f t="shared" si="10"/>
        <v>#N/A</v>
      </c>
      <c r="H264" s="24">
        <v>6</v>
      </c>
    </row>
    <row r="265" spans="1:8" hidden="1">
      <c r="A265" s="32"/>
      <c r="B265" s="32"/>
      <c r="C265" s="33" t="e">
        <f t="shared" si="9"/>
        <v>#N/A</v>
      </c>
      <c r="D265" s="18">
        <v>202500030</v>
      </c>
      <c r="E265">
        <v>31</v>
      </c>
      <c r="F265" t="e">
        <f>Tabela1[[#This Row],[Total de jovens na turma ]]*3</f>
        <v>#N/A</v>
      </c>
      <c r="G265" s="37" t="e">
        <f t="shared" si="10"/>
        <v>#N/A</v>
      </c>
      <c r="H265" s="24">
        <v>6</v>
      </c>
    </row>
    <row r="266" spans="1:8" hidden="1">
      <c r="A266" s="32"/>
      <c r="B266" s="32"/>
      <c r="C266" s="33" t="e">
        <f t="shared" si="9"/>
        <v>#N/A</v>
      </c>
      <c r="D266" s="19">
        <v>202500031</v>
      </c>
      <c r="E266">
        <v>26</v>
      </c>
      <c r="F266" t="e">
        <f>Tabela1[[#This Row],[Total de jovens na turma ]]*3</f>
        <v>#N/A</v>
      </c>
      <c r="G266" s="37" t="e">
        <f t="shared" si="10"/>
        <v>#N/A</v>
      </c>
      <c r="H266" s="24">
        <v>6</v>
      </c>
    </row>
    <row r="267" spans="1:8" hidden="1">
      <c r="A267" s="32"/>
      <c r="B267" s="32"/>
      <c r="C267" s="33" t="e">
        <f t="shared" si="9"/>
        <v>#N/A</v>
      </c>
      <c r="D267" s="18">
        <v>202500031</v>
      </c>
      <c r="E267">
        <v>26</v>
      </c>
      <c r="F267" t="e">
        <f>Tabela1[[#This Row],[Total de jovens na turma ]]*3</f>
        <v>#N/A</v>
      </c>
      <c r="G267" s="37" t="e">
        <f t="shared" si="10"/>
        <v>#N/A</v>
      </c>
      <c r="H267" s="24">
        <v>6</v>
      </c>
    </row>
    <row r="268" spans="1:8" hidden="1">
      <c r="A268" s="32"/>
      <c r="B268" s="32"/>
      <c r="C268" s="33" t="e">
        <f t="shared" si="9"/>
        <v>#N/A</v>
      </c>
      <c r="D268" s="19">
        <v>202500031</v>
      </c>
      <c r="E268">
        <v>26</v>
      </c>
      <c r="F268" t="e">
        <f>Tabela1[[#This Row],[Total de jovens na turma ]]*3</f>
        <v>#N/A</v>
      </c>
      <c r="G268" s="37" t="e">
        <f t="shared" si="10"/>
        <v>#N/A</v>
      </c>
      <c r="H268" s="24">
        <v>6</v>
      </c>
    </row>
    <row r="269" spans="1:8" hidden="1">
      <c r="A269" s="32"/>
      <c r="B269" s="32"/>
      <c r="C269" s="33" t="e">
        <f t="shared" si="9"/>
        <v>#N/A</v>
      </c>
      <c r="D269" s="18">
        <v>202500031</v>
      </c>
      <c r="E269">
        <v>26</v>
      </c>
      <c r="F269" t="e">
        <f>Tabela1[[#This Row],[Total de jovens na turma ]]*3</f>
        <v>#N/A</v>
      </c>
      <c r="G269" s="37" t="e">
        <f t="shared" si="10"/>
        <v>#N/A</v>
      </c>
      <c r="H269" s="24">
        <v>6</v>
      </c>
    </row>
    <row r="270" spans="1:8" hidden="1">
      <c r="A270" s="32"/>
      <c r="B270" s="32"/>
      <c r="C270" s="33" t="e">
        <f t="shared" si="9"/>
        <v>#N/A</v>
      </c>
      <c r="D270" s="19">
        <v>202500031</v>
      </c>
      <c r="E270">
        <v>26</v>
      </c>
      <c r="F270" t="e">
        <f>Tabela1[[#This Row],[Total de jovens na turma ]]*3</f>
        <v>#N/A</v>
      </c>
      <c r="G270" s="37" t="e">
        <f t="shared" si="10"/>
        <v>#N/A</v>
      </c>
      <c r="H270" s="24">
        <v>6</v>
      </c>
    </row>
    <row r="271" spans="1:8" hidden="1">
      <c r="A271" s="32"/>
      <c r="B271" s="32"/>
      <c r="C271" s="33" t="e">
        <f t="shared" si="9"/>
        <v>#N/A</v>
      </c>
      <c r="D271" s="18">
        <v>202500031</v>
      </c>
      <c r="E271">
        <v>26</v>
      </c>
      <c r="F271" t="e">
        <f>Tabela1[[#This Row],[Total de jovens na turma ]]*3</f>
        <v>#N/A</v>
      </c>
      <c r="G271" s="37" t="e">
        <f t="shared" si="10"/>
        <v>#N/A</v>
      </c>
      <c r="H271" s="24">
        <v>6</v>
      </c>
    </row>
    <row r="272" spans="1:8" hidden="1">
      <c r="A272" s="32"/>
      <c r="B272" s="32"/>
      <c r="C272" s="33" t="e">
        <f t="shared" si="9"/>
        <v>#N/A</v>
      </c>
      <c r="D272" s="19">
        <v>202500031</v>
      </c>
      <c r="E272">
        <v>26</v>
      </c>
      <c r="F272" t="e">
        <f>Tabela1[[#This Row],[Total de jovens na turma ]]*3</f>
        <v>#N/A</v>
      </c>
      <c r="G272" s="37" t="e">
        <f t="shared" si="10"/>
        <v>#N/A</v>
      </c>
      <c r="H272" s="24">
        <v>6</v>
      </c>
    </row>
    <row r="273" spans="1:8" hidden="1">
      <c r="A273" s="32"/>
      <c r="B273" s="32"/>
      <c r="C273" s="33" t="e">
        <f t="shared" si="9"/>
        <v>#N/A</v>
      </c>
      <c r="D273" s="18">
        <v>202500031</v>
      </c>
      <c r="E273">
        <v>26</v>
      </c>
      <c r="F273" t="e">
        <f>Tabela1[[#This Row],[Total de jovens na turma ]]*3</f>
        <v>#N/A</v>
      </c>
      <c r="G273" s="37" t="e">
        <f t="shared" si="10"/>
        <v>#N/A</v>
      </c>
      <c r="H273" s="24">
        <v>6</v>
      </c>
    </row>
    <row r="274" spans="1:8" hidden="1">
      <c r="A274" s="32"/>
      <c r="B274" s="32"/>
      <c r="C274" s="33" t="e">
        <f t="shared" si="9"/>
        <v>#N/A</v>
      </c>
      <c r="D274" s="19">
        <v>202500031</v>
      </c>
      <c r="E274">
        <v>26</v>
      </c>
      <c r="F274" t="e">
        <f>Tabela1[[#This Row],[Total de jovens na turma ]]*3</f>
        <v>#N/A</v>
      </c>
      <c r="G274" s="37" t="e">
        <f t="shared" si="10"/>
        <v>#N/A</v>
      </c>
      <c r="H274" s="24">
        <v>6</v>
      </c>
    </row>
    <row r="275" spans="1:8" hidden="1">
      <c r="A275" s="32"/>
      <c r="B275" s="32"/>
      <c r="C275" s="33" t="e">
        <f t="shared" si="9"/>
        <v>#N/A</v>
      </c>
      <c r="D275" s="18">
        <v>202500031</v>
      </c>
      <c r="E275">
        <v>26</v>
      </c>
      <c r="F275" t="e">
        <f>Tabela1[[#This Row],[Total de jovens na turma ]]*3</f>
        <v>#N/A</v>
      </c>
      <c r="G275" s="37" t="e">
        <f t="shared" si="10"/>
        <v>#N/A</v>
      </c>
      <c r="H275" s="24">
        <v>6</v>
      </c>
    </row>
    <row r="276" spans="1:8" hidden="1">
      <c r="A276" s="32"/>
      <c r="B276" s="32"/>
      <c r="C276" s="33" t="e">
        <f t="shared" si="9"/>
        <v>#N/A</v>
      </c>
      <c r="D276" s="19">
        <v>202500031</v>
      </c>
      <c r="E276">
        <v>26</v>
      </c>
      <c r="F276" t="e">
        <f>Tabela1[[#This Row],[Total de jovens na turma ]]*3</f>
        <v>#N/A</v>
      </c>
      <c r="G276" s="37" t="e">
        <f t="shared" si="10"/>
        <v>#N/A</v>
      </c>
      <c r="H276" s="24">
        <v>6</v>
      </c>
    </row>
    <row r="277" spans="1:8" hidden="1">
      <c r="A277" s="32"/>
      <c r="B277" s="32"/>
      <c r="C277" s="33" t="e">
        <f t="shared" si="9"/>
        <v>#N/A</v>
      </c>
      <c r="D277" s="18">
        <v>202500031</v>
      </c>
      <c r="E277">
        <v>26</v>
      </c>
      <c r="F277" t="e">
        <f>Tabela1[[#This Row],[Total de jovens na turma ]]*3</f>
        <v>#N/A</v>
      </c>
      <c r="G277" s="37" t="e">
        <f t="shared" si="10"/>
        <v>#N/A</v>
      </c>
      <c r="H277" s="24">
        <v>6</v>
      </c>
    </row>
    <row r="278" spans="1:8" hidden="1">
      <c r="A278" s="32"/>
      <c r="B278" s="32"/>
      <c r="C278" s="33" t="e">
        <f t="shared" si="9"/>
        <v>#N/A</v>
      </c>
      <c r="D278" s="19">
        <v>202500031</v>
      </c>
      <c r="E278">
        <v>26</v>
      </c>
      <c r="F278" t="e">
        <f>Tabela1[[#This Row],[Total de jovens na turma ]]*3</f>
        <v>#N/A</v>
      </c>
      <c r="G278" s="37" t="e">
        <f t="shared" si="10"/>
        <v>#N/A</v>
      </c>
      <c r="H278" s="24">
        <v>6</v>
      </c>
    </row>
    <row r="279" spans="1:8" hidden="1">
      <c r="A279" s="32"/>
      <c r="B279" s="32"/>
      <c r="C279" s="33" t="e">
        <f t="shared" si="9"/>
        <v>#N/A</v>
      </c>
      <c r="D279" s="18">
        <v>202500031</v>
      </c>
      <c r="E279">
        <v>26</v>
      </c>
      <c r="F279" t="e">
        <f>Tabela1[[#This Row],[Total de jovens na turma ]]*3</f>
        <v>#N/A</v>
      </c>
      <c r="G279" s="37" t="e">
        <f t="shared" si="10"/>
        <v>#N/A</v>
      </c>
      <c r="H279" s="24">
        <v>6</v>
      </c>
    </row>
    <row r="280" spans="1:8" hidden="1">
      <c r="A280" s="32"/>
      <c r="B280" s="32"/>
      <c r="C280" s="33" t="e">
        <f t="shared" si="9"/>
        <v>#N/A</v>
      </c>
      <c r="D280" s="19">
        <v>202500031</v>
      </c>
      <c r="E280">
        <v>26</v>
      </c>
      <c r="F280" t="e">
        <f>Tabela1[[#This Row],[Total de jovens na turma ]]*3</f>
        <v>#N/A</v>
      </c>
      <c r="G280" s="37" t="e">
        <f t="shared" si="10"/>
        <v>#N/A</v>
      </c>
      <c r="H280" s="24">
        <v>6</v>
      </c>
    </row>
    <row r="281" spans="1:8" hidden="1">
      <c r="A281" s="32"/>
      <c r="B281" s="32"/>
      <c r="C281" s="33" t="e">
        <f t="shared" si="9"/>
        <v>#N/A</v>
      </c>
      <c r="D281" s="18">
        <v>202500031</v>
      </c>
      <c r="E281">
        <v>26</v>
      </c>
      <c r="F281" t="e">
        <f>Tabela1[[#This Row],[Total de jovens na turma ]]*3</f>
        <v>#N/A</v>
      </c>
      <c r="G281" s="37" t="e">
        <f t="shared" si="10"/>
        <v>#N/A</v>
      </c>
      <c r="H281" s="24">
        <v>6</v>
      </c>
    </row>
    <row r="282" spans="1:8" hidden="1">
      <c r="A282" s="32"/>
      <c r="B282" s="32"/>
      <c r="C282" s="33" t="e">
        <f t="shared" si="9"/>
        <v>#N/A</v>
      </c>
      <c r="D282" s="19">
        <v>202500031</v>
      </c>
      <c r="E282">
        <v>26</v>
      </c>
      <c r="F282" t="e">
        <f>Tabela1[[#This Row],[Total de jovens na turma ]]*3</f>
        <v>#N/A</v>
      </c>
      <c r="G282" s="37" t="e">
        <f t="shared" si="10"/>
        <v>#N/A</v>
      </c>
      <c r="H282" s="24">
        <v>6</v>
      </c>
    </row>
    <row r="283" spans="1:8" hidden="1">
      <c r="A283" s="32"/>
      <c r="B283" s="32"/>
      <c r="C283" s="33" t="e">
        <f t="shared" si="9"/>
        <v>#N/A</v>
      </c>
      <c r="D283" s="18">
        <v>202500031</v>
      </c>
      <c r="E283">
        <v>26</v>
      </c>
      <c r="F283" t="e">
        <f>Tabela1[[#This Row],[Total de jovens na turma ]]*3</f>
        <v>#N/A</v>
      </c>
      <c r="G283" s="37" t="e">
        <f t="shared" si="10"/>
        <v>#N/A</v>
      </c>
      <c r="H283" s="24">
        <v>6</v>
      </c>
    </row>
    <row r="284" spans="1:8" hidden="1">
      <c r="A284" s="32"/>
      <c r="B284" s="32"/>
      <c r="C284" s="33" t="e">
        <f t="shared" si="9"/>
        <v>#N/A</v>
      </c>
      <c r="D284" s="19">
        <v>202500031</v>
      </c>
      <c r="E284">
        <v>26</v>
      </c>
      <c r="F284" t="e">
        <f>Tabela1[[#This Row],[Total de jovens na turma ]]*3</f>
        <v>#N/A</v>
      </c>
      <c r="G284" s="37" t="e">
        <f t="shared" si="10"/>
        <v>#N/A</v>
      </c>
      <c r="H284" s="24">
        <v>6</v>
      </c>
    </row>
    <row r="285" spans="1:8" hidden="1">
      <c r="A285" s="32"/>
      <c r="B285" s="32"/>
      <c r="C285" s="33" t="e">
        <f t="shared" si="9"/>
        <v>#N/A</v>
      </c>
      <c r="D285" s="18">
        <v>202500031</v>
      </c>
      <c r="E285">
        <v>26</v>
      </c>
      <c r="F285" t="e">
        <f>Tabela1[[#This Row],[Total de jovens na turma ]]*3</f>
        <v>#N/A</v>
      </c>
      <c r="G285" s="37" t="e">
        <f t="shared" si="10"/>
        <v>#N/A</v>
      </c>
      <c r="H285" s="24">
        <v>6</v>
      </c>
    </row>
    <row r="286" spans="1:8" hidden="1">
      <c r="A286" s="32"/>
      <c r="B286" s="32"/>
      <c r="C286" s="33" t="e">
        <f t="shared" si="9"/>
        <v>#N/A</v>
      </c>
      <c r="D286" s="19">
        <v>202500031</v>
      </c>
      <c r="E286">
        <v>26</v>
      </c>
      <c r="F286" t="e">
        <f>Tabela1[[#This Row],[Total de jovens na turma ]]*3</f>
        <v>#N/A</v>
      </c>
      <c r="G286" s="37" t="e">
        <f t="shared" si="10"/>
        <v>#N/A</v>
      </c>
      <c r="H286" s="24">
        <v>6</v>
      </c>
    </row>
    <row r="287" spans="1:8" hidden="1">
      <c r="A287" s="32"/>
      <c r="B287" s="32"/>
      <c r="C287" s="33" t="e">
        <f t="shared" si="9"/>
        <v>#N/A</v>
      </c>
      <c r="D287" s="18">
        <v>202500031</v>
      </c>
      <c r="E287">
        <v>26</v>
      </c>
      <c r="F287" t="e">
        <f>Tabela1[[#This Row],[Total de jovens na turma ]]*3</f>
        <v>#N/A</v>
      </c>
      <c r="G287" s="37" t="e">
        <f t="shared" si="10"/>
        <v>#N/A</v>
      </c>
      <c r="H287" s="24">
        <v>6</v>
      </c>
    </row>
    <row r="288" spans="1:8" hidden="1">
      <c r="A288" s="32"/>
      <c r="B288" s="32"/>
      <c r="C288" s="33" t="e">
        <f t="shared" si="9"/>
        <v>#N/A</v>
      </c>
      <c r="D288" s="19">
        <v>202500034</v>
      </c>
      <c r="E288">
        <v>41</v>
      </c>
      <c r="F288" t="e">
        <f>Tabela1[[#This Row],[Total de jovens na turma ]]*3</f>
        <v>#N/A</v>
      </c>
      <c r="G288" s="37" t="e">
        <f t="shared" si="10"/>
        <v>#N/A</v>
      </c>
      <c r="H288" s="24">
        <v>6</v>
      </c>
    </row>
    <row r="289" spans="1:8" hidden="1">
      <c r="A289" s="32"/>
      <c r="B289" s="32"/>
      <c r="C289" s="33" t="e">
        <f t="shared" si="9"/>
        <v>#N/A</v>
      </c>
      <c r="D289" s="18">
        <v>202500034</v>
      </c>
      <c r="E289">
        <v>41</v>
      </c>
      <c r="F289" t="e">
        <f>Tabela1[[#This Row],[Total de jovens na turma ]]*3</f>
        <v>#N/A</v>
      </c>
      <c r="G289" s="37" t="e">
        <f t="shared" si="10"/>
        <v>#N/A</v>
      </c>
      <c r="H289" s="24">
        <v>6</v>
      </c>
    </row>
    <row r="290" spans="1:8" hidden="1">
      <c r="A290" s="32"/>
      <c r="B290" s="32"/>
      <c r="C290" s="33" t="e">
        <f t="shared" si="9"/>
        <v>#N/A</v>
      </c>
      <c r="D290" s="19">
        <v>202500034</v>
      </c>
      <c r="E290">
        <v>41</v>
      </c>
      <c r="F290" t="e">
        <f>Tabela1[[#This Row],[Total de jovens na turma ]]*3</f>
        <v>#N/A</v>
      </c>
      <c r="G290" s="37" t="e">
        <f t="shared" si="10"/>
        <v>#N/A</v>
      </c>
      <c r="H290" s="24">
        <v>6</v>
      </c>
    </row>
    <row r="291" spans="1:8" hidden="1">
      <c r="A291" s="32"/>
      <c r="B291" s="32"/>
      <c r="C291" s="33" t="e">
        <f t="shared" si="9"/>
        <v>#N/A</v>
      </c>
      <c r="D291" s="18">
        <v>202500034</v>
      </c>
      <c r="E291">
        <v>41</v>
      </c>
      <c r="F291" t="e">
        <f>Tabela1[[#This Row],[Total de jovens na turma ]]*3</f>
        <v>#N/A</v>
      </c>
      <c r="G291" s="37" t="e">
        <f t="shared" si="10"/>
        <v>#N/A</v>
      </c>
      <c r="H291" s="24">
        <v>6</v>
      </c>
    </row>
    <row r="292" spans="1:8" hidden="1">
      <c r="A292" s="32"/>
      <c r="B292" s="32"/>
      <c r="C292" s="33" t="e">
        <f t="shared" si="9"/>
        <v>#N/A</v>
      </c>
      <c r="D292" s="19">
        <v>202500034</v>
      </c>
      <c r="E292">
        <v>41</v>
      </c>
      <c r="F292" t="e">
        <f>Tabela1[[#This Row],[Total de jovens na turma ]]*3</f>
        <v>#N/A</v>
      </c>
      <c r="G292" s="37" t="e">
        <f t="shared" si="10"/>
        <v>#N/A</v>
      </c>
      <c r="H292" s="24">
        <v>6</v>
      </c>
    </row>
    <row r="293" spans="1:8" hidden="1">
      <c r="A293" s="32"/>
      <c r="B293" s="32"/>
      <c r="C293" s="33" t="e">
        <f t="shared" si="9"/>
        <v>#N/A</v>
      </c>
      <c r="D293" s="18">
        <v>202500034</v>
      </c>
      <c r="E293">
        <v>41</v>
      </c>
      <c r="F293" t="e">
        <f>Tabela1[[#This Row],[Total de jovens na turma ]]*3</f>
        <v>#N/A</v>
      </c>
      <c r="G293" s="37" t="e">
        <f t="shared" si="10"/>
        <v>#N/A</v>
      </c>
      <c r="H293" s="24">
        <v>6</v>
      </c>
    </row>
    <row r="294" spans="1:8" hidden="1">
      <c r="A294" s="32"/>
      <c r="B294" s="32"/>
      <c r="C294" s="33" t="e">
        <f t="shared" si="9"/>
        <v>#N/A</v>
      </c>
      <c r="D294" s="19">
        <v>202500034</v>
      </c>
      <c r="E294">
        <v>41</v>
      </c>
      <c r="F294" t="e">
        <f>Tabela1[[#This Row],[Total de jovens na turma ]]*3</f>
        <v>#N/A</v>
      </c>
      <c r="G294" s="37" t="e">
        <f t="shared" si="10"/>
        <v>#N/A</v>
      </c>
      <c r="H294" s="24">
        <v>6</v>
      </c>
    </row>
    <row r="295" spans="1:8" hidden="1">
      <c r="A295" s="32"/>
      <c r="B295" s="32"/>
      <c r="C295" s="33" t="e">
        <f t="shared" si="9"/>
        <v>#N/A</v>
      </c>
      <c r="D295" s="18">
        <v>202500034</v>
      </c>
      <c r="E295">
        <v>41</v>
      </c>
      <c r="F295" t="e">
        <f>Tabela1[[#This Row],[Total de jovens na turma ]]*3</f>
        <v>#N/A</v>
      </c>
      <c r="G295" s="37" t="e">
        <f t="shared" si="10"/>
        <v>#N/A</v>
      </c>
      <c r="H295" s="24">
        <v>6</v>
      </c>
    </row>
    <row r="296" spans="1:8" hidden="1">
      <c r="A296" s="32"/>
      <c r="B296" s="32"/>
      <c r="C296" s="33" t="e">
        <f t="shared" si="9"/>
        <v>#N/A</v>
      </c>
      <c r="D296" s="19">
        <v>202500034</v>
      </c>
      <c r="E296">
        <v>41</v>
      </c>
      <c r="F296" t="e">
        <f>Tabela1[[#This Row],[Total de jovens na turma ]]*3</f>
        <v>#N/A</v>
      </c>
      <c r="G296" s="37" t="e">
        <f t="shared" si="10"/>
        <v>#N/A</v>
      </c>
      <c r="H296" s="24">
        <v>6</v>
      </c>
    </row>
    <row r="297" spans="1:8" hidden="1">
      <c r="A297" s="32"/>
      <c r="B297" s="32"/>
      <c r="C297" s="33" t="e">
        <f t="shared" si="9"/>
        <v>#N/A</v>
      </c>
      <c r="D297" s="18">
        <v>202500034</v>
      </c>
      <c r="E297">
        <v>41</v>
      </c>
      <c r="F297" t="e">
        <f>Tabela1[[#This Row],[Total de jovens na turma ]]*3</f>
        <v>#N/A</v>
      </c>
      <c r="G297" s="37" t="e">
        <f t="shared" si="10"/>
        <v>#N/A</v>
      </c>
      <c r="H297" s="24">
        <v>6</v>
      </c>
    </row>
    <row r="298" spans="1:8" hidden="1">
      <c r="A298" s="32"/>
      <c r="B298" s="32"/>
      <c r="C298" s="33" t="e">
        <f t="shared" si="9"/>
        <v>#N/A</v>
      </c>
      <c r="D298" s="19">
        <v>202500034</v>
      </c>
      <c r="E298">
        <v>41</v>
      </c>
      <c r="F298" t="e">
        <f>Tabela1[[#This Row],[Total de jovens na turma ]]*3</f>
        <v>#N/A</v>
      </c>
      <c r="G298" s="37" t="e">
        <f t="shared" si="10"/>
        <v>#N/A</v>
      </c>
      <c r="H298" s="24">
        <v>6</v>
      </c>
    </row>
    <row r="299" spans="1:8" hidden="1">
      <c r="A299" s="32"/>
      <c r="B299" s="32"/>
      <c r="C299" s="33" t="e">
        <f t="shared" si="9"/>
        <v>#N/A</v>
      </c>
      <c r="D299" s="18">
        <v>202500034</v>
      </c>
      <c r="E299">
        <v>41</v>
      </c>
      <c r="F299" t="e">
        <f>Tabela1[[#This Row],[Total de jovens na turma ]]*3</f>
        <v>#N/A</v>
      </c>
      <c r="G299" s="37" t="e">
        <f t="shared" si="10"/>
        <v>#N/A</v>
      </c>
      <c r="H299" s="24">
        <v>6</v>
      </c>
    </row>
    <row r="300" spans="1:8" hidden="1">
      <c r="A300" s="32"/>
      <c r="B300" s="32"/>
      <c r="C300" s="33" t="e">
        <f t="shared" si="9"/>
        <v>#N/A</v>
      </c>
      <c r="D300" s="19">
        <v>202500034</v>
      </c>
      <c r="E300">
        <v>41</v>
      </c>
      <c r="F300" t="e">
        <f>Tabela1[[#This Row],[Total de jovens na turma ]]*3</f>
        <v>#N/A</v>
      </c>
      <c r="G300" s="37" t="e">
        <f t="shared" si="10"/>
        <v>#N/A</v>
      </c>
      <c r="H300" s="24">
        <v>6</v>
      </c>
    </row>
    <row r="301" spans="1:8" hidden="1">
      <c r="A301" s="32"/>
      <c r="B301" s="32"/>
      <c r="C301" s="33" t="e">
        <f t="shared" si="9"/>
        <v>#N/A</v>
      </c>
      <c r="D301" s="18">
        <v>202500034</v>
      </c>
      <c r="E301">
        <v>41</v>
      </c>
      <c r="F301" t="e">
        <f>Tabela1[[#This Row],[Total de jovens na turma ]]*3</f>
        <v>#N/A</v>
      </c>
      <c r="G301" s="37" t="e">
        <f t="shared" si="10"/>
        <v>#N/A</v>
      </c>
      <c r="H301" s="24">
        <v>6</v>
      </c>
    </row>
    <row r="302" spans="1:8" hidden="1">
      <c r="A302" s="32"/>
      <c r="B302" s="32"/>
      <c r="C302" s="33" t="e">
        <f t="shared" si="9"/>
        <v>#N/A</v>
      </c>
      <c r="D302" s="19">
        <v>202500034</v>
      </c>
      <c r="E302">
        <v>41</v>
      </c>
      <c r="F302" t="e">
        <f>Tabela1[[#This Row],[Total de jovens na turma ]]*3</f>
        <v>#N/A</v>
      </c>
      <c r="G302" s="37" t="e">
        <f t="shared" si="10"/>
        <v>#N/A</v>
      </c>
      <c r="H302" s="24">
        <v>6</v>
      </c>
    </row>
    <row r="303" spans="1:8" hidden="1">
      <c r="A303" s="32"/>
      <c r="B303" s="32"/>
      <c r="C303" s="33" t="e">
        <f t="shared" si="9"/>
        <v>#N/A</v>
      </c>
      <c r="D303" s="18">
        <v>202500034</v>
      </c>
      <c r="E303">
        <v>41</v>
      </c>
      <c r="F303" t="e">
        <f>Tabela1[[#This Row],[Total de jovens na turma ]]*3</f>
        <v>#N/A</v>
      </c>
      <c r="G303" s="37" t="e">
        <f t="shared" si="10"/>
        <v>#N/A</v>
      </c>
      <c r="H303" s="24">
        <v>6</v>
      </c>
    </row>
    <row r="304" spans="1:8" hidden="1">
      <c r="A304" s="32"/>
      <c r="B304" s="32"/>
      <c r="C304" s="33" t="e">
        <f t="shared" si="9"/>
        <v>#N/A</v>
      </c>
      <c r="D304" s="19">
        <v>202500034</v>
      </c>
      <c r="E304">
        <v>41</v>
      </c>
      <c r="F304" t="e">
        <f>Tabela1[[#This Row],[Total de jovens na turma ]]*3</f>
        <v>#N/A</v>
      </c>
      <c r="G304" s="37" t="e">
        <f t="shared" si="10"/>
        <v>#N/A</v>
      </c>
      <c r="H304" s="24">
        <v>6</v>
      </c>
    </row>
    <row r="305" spans="1:8" hidden="1">
      <c r="A305" s="32"/>
      <c r="B305" s="32"/>
      <c r="C305" s="33" t="e">
        <f t="shared" si="9"/>
        <v>#N/A</v>
      </c>
      <c r="D305" s="18">
        <v>202500034</v>
      </c>
      <c r="E305">
        <v>41</v>
      </c>
      <c r="F305" t="e">
        <f>Tabela1[[#This Row],[Total de jovens na turma ]]*3</f>
        <v>#N/A</v>
      </c>
      <c r="G305" s="37" t="e">
        <f t="shared" si="10"/>
        <v>#N/A</v>
      </c>
      <c r="H305" s="24">
        <v>6</v>
      </c>
    </row>
    <row r="306" spans="1:8" hidden="1">
      <c r="A306" s="32"/>
      <c r="B306" s="32"/>
      <c r="C306" s="33" t="e">
        <f t="shared" si="9"/>
        <v>#N/A</v>
      </c>
      <c r="D306" s="19">
        <v>202500034</v>
      </c>
      <c r="E306">
        <v>41</v>
      </c>
      <c r="F306" t="e">
        <f>Tabela1[[#This Row],[Total de jovens na turma ]]*3</f>
        <v>#N/A</v>
      </c>
      <c r="G306" s="37" t="e">
        <f t="shared" si="10"/>
        <v>#N/A</v>
      </c>
      <c r="H306" s="24">
        <v>6</v>
      </c>
    </row>
    <row r="307" spans="1:8" hidden="1">
      <c r="A307" s="32"/>
      <c r="B307" s="32"/>
      <c r="C307" s="33" t="e">
        <f t="shared" si="9"/>
        <v>#N/A</v>
      </c>
      <c r="D307" s="27">
        <v>202500034</v>
      </c>
      <c r="E307">
        <v>41</v>
      </c>
      <c r="F307" t="e">
        <f>Tabela1[[#This Row],[Total de jovens na turma ]]*3</f>
        <v>#N/A</v>
      </c>
      <c r="G307" s="37" t="e">
        <f t="shared" si="10"/>
        <v>#N/A</v>
      </c>
      <c r="H307" s="24">
        <v>6</v>
      </c>
    </row>
    <row r="308" spans="1:8" hidden="1">
      <c r="A308" s="32"/>
      <c r="B308" s="32"/>
      <c r="C308" s="33" t="e">
        <f t="shared" si="9"/>
        <v>#N/A</v>
      </c>
      <c r="D308" s="19">
        <v>202500034</v>
      </c>
      <c r="E308">
        <v>41</v>
      </c>
      <c r="F308" t="e">
        <f>Tabela1[[#This Row],[Total de jovens na turma ]]*3</f>
        <v>#N/A</v>
      </c>
      <c r="G308" s="37" t="e">
        <f t="shared" si="10"/>
        <v>#N/A</v>
      </c>
      <c r="H308" s="24">
        <v>6</v>
      </c>
    </row>
    <row r="309" spans="1:8" hidden="1">
      <c r="A309" s="32"/>
      <c r="B309" s="32"/>
      <c r="C309" s="33" t="e">
        <f t="shared" si="9"/>
        <v>#N/A</v>
      </c>
      <c r="D309" s="27">
        <v>202500034</v>
      </c>
      <c r="E309">
        <v>41</v>
      </c>
      <c r="F309" t="e">
        <f>Tabela1[[#This Row],[Total de jovens na turma ]]*3</f>
        <v>#N/A</v>
      </c>
      <c r="G309" s="37" t="e">
        <f t="shared" si="10"/>
        <v>#N/A</v>
      </c>
      <c r="H309" s="24">
        <v>6</v>
      </c>
    </row>
    <row r="310" spans="1:8" hidden="1">
      <c r="A310" s="32"/>
      <c r="B310" s="32"/>
      <c r="C310" s="33" t="e">
        <f t="shared" si="9"/>
        <v>#N/A</v>
      </c>
      <c r="D310" s="19">
        <v>202500034</v>
      </c>
      <c r="E310">
        <v>41</v>
      </c>
      <c r="F310" t="e">
        <f>Tabela1[[#This Row],[Total de jovens na turma ]]*3</f>
        <v>#N/A</v>
      </c>
      <c r="G310" s="37" t="e">
        <f t="shared" si="10"/>
        <v>#N/A</v>
      </c>
      <c r="H310" s="24">
        <v>6</v>
      </c>
    </row>
    <row r="311" spans="1:8" hidden="1">
      <c r="A311" s="32"/>
      <c r="B311" s="32"/>
      <c r="C311" s="33" t="e">
        <f t="shared" si="9"/>
        <v>#N/A</v>
      </c>
      <c r="D311" s="18">
        <v>202500034</v>
      </c>
      <c r="E311">
        <v>41</v>
      </c>
      <c r="F311" t="e">
        <f>Tabela1[[#This Row],[Total de jovens na turma ]]*3</f>
        <v>#N/A</v>
      </c>
      <c r="G311" s="37" t="e">
        <f t="shared" si="10"/>
        <v>#N/A</v>
      </c>
      <c r="H311" s="24">
        <v>6</v>
      </c>
    </row>
    <row r="312" spans="1:8" hidden="1">
      <c r="A312" s="32"/>
      <c r="B312" s="32"/>
      <c r="C312" s="33" t="e">
        <f t="shared" si="9"/>
        <v>#N/A</v>
      </c>
      <c r="D312" s="19">
        <v>202500031</v>
      </c>
      <c r="E312">
        <v>26</v>
      </c>
      <c r="F312" t="e">
        <f>Tabela1[[#This Row],[Total de jovens na turma ]]*3</f>
        <v>#N/A</v>
      </c>
      <c r="G312" s="37" t="e">
        <f t="shared" si="10"/>
        <v>#N/A</v>
      </c>
      <c r="H312" s="24">
        <v>6</v>
      </c>
    </row>
    <row r="313" spans="1:8" hidden="1">
      <c r="A313" s="32"/>
      <c r="B313" s="32"/>
      <c r="C313" s="33" t="e">
        <f t="shared" si="9"/>
        <v>#N/A</v>
      </c>
      <c r="D313" s="18">
        <v>202500031</v>
      </c>
      <c r="E313">
        <v>26</v>
      </c>
      <c r="F313" t="e">
        <f>Tabela1[[#This Row],[Total de jovens na turma ]]*3</f>
        <v>#N/A</v>
      </c>
      <c r="G313" s="37" t="e">
        <f t="shared" si="10"/>
        <v>#N/A</v>
      </c>
      <c r="H313" s="24">
        <v>6</v>
      </c>
    </row>
    <row r="314" spans="1:8" hidden="1">
      <c r="A314" s="32"/>
      <c r="B314" s="32"/>
      <c r="C314" s="33" t="e">
        <f t="shared" si="9"/>
        <v>#N/A</v>
      </c>
      <c r="D314" s="19">
        <v>202500031</v>
      </c>
      <c r="E314">
        <v>26</v>
      </c>
      <c r="F314" t="e">
        <f>Tabela1[[#This Row],[Total de jovens na turma ]]*3</f>
        <v>#N/A</v>
      </c>
      <c r="G314" s="37" t="e">
        <f t="shared" si="10"/>
        <v>#N/A</v>
      </c>
      <c r="H314" s="24">
        <v>6</v>
      </c>
    </row>
    <row r="315" spans="1:8" hidden="1">
      <c r="A315" s="32"/>
      <c r="B315" s="32"/>
      <c r="C315" s="33" t="e">
        <f t="shared" si="9"/>
        <v>#N/A</v>
      </c>
      <c r="D315" s="18">
        <v>202500031</v>
      </c>
      <c r="E315">
        <v>26</v>
      </c>
      <c r="F315" t="e">
        <f>Tabela1[[#This Row],[Total de jovens na turma ]]*3</f>
        <v>#N/A</v>
      </c>
      <c r="G315" s="37" t="e">
        <f t="shared" si="10"/>
        <v>#N/A</v>
      </c>
      <c r="H315" s="24">
        <v>6</v>
      </c>
    </row>
    <row r="316" spans="1:8" hidden="1">
      <c r="A316" s="32"/>
      <c r="B316" s="32"/>
      <c r="C316" s="33" t="e">
        <f t="shared" si="9"/>
        <v>#N/A</v>
      </c>
      <c r="D316" s="19">
        <v>202500034</v>
      </c>
      <c r="E316">
        <v>41</v>
      </c>
      <c r="F316" t="e">
        <f>Tabela1[[#This Row],[Total de jovens na turma ]]*3</f>
        <v>#N/A</v>
      </c>
      <c r="G316" s="37" t="e">
        <f t="shared" si="10"/>
        <v>#N/A</v>
      </c>
      <c r="H316" s="24">
        <v>6</v>
      </c>
    </row>
    <row r="317" spans="1:8" hidden="1">
      <c r="A317" s="32"/>
      <c r="B317" s="32"/>
      <c r="C317" s="33" t="e">
        <f t="shared" si="9"/>
        <v>#N/A</v>
      </c>
      <c r="D317" s="18">
        <v>202500034</v>
      </c>
      <c r="E317">
        <v>41</v>
      </c>
      <c r="F317" t="e">
        <f>Tabela1[[#This Row],[Total de jovens na turma ]]*3</f>
        <v>#N/A</v>
      </c>
      <c r="G317" s="37" t="e">
        <f t="shared" si="10"/>
        <v>#N/A</v>
      </c>
      <c r="H317" s="24">
        <v>6</v>
      </c>
    </row>
    <row r="318" spans="1:8" hidden="1">
      <c r="A318" s="32"/>
      <c r="B318" s="32"/>
      <c r="C318" s="33" t="e">
        <f t="shared" si="9"/>
        <v>#N/A</v>
      </c>
      <c r="D318" s="19">
        <v>202500034</v>
      </c>
      <c r="E318">
        <v>41</v>
      </c>
      <c r="F318" t="e">
        <f>Tabela1[[#This Row],[Total de jovens na turma ]]*3</f>
        <v>#N/A</v>
      </c>
      <c r="G318" s="37" t="e">
        <f t="shared" si="10"/>
        <v>#N/A</v>
      </c>
      <c r="H318" s="24">
        <v>6</v>
      </c>
    </row>
    <row r="319" spans="1:8" hidden="1">
      <c r="A319" s="32"/>
      <c r="B319" s="32"/>
      <c r="C319" s="33" t="e">
        <f t="shared" si="9"/>
        <v>#N/A</v>
      </c>
      <c r="D319" s="18">
        <v>202500034</v>
      </c>
      <c r="E319">
        <v>41</v>
      </c>
      <c r="F319" t="e">
        <f>Tabela1[[#This Row],[Total de jovens na turma ]]*3</f>
        <v>#N/A</v>
      </c>
      <c r="G319" s="37" t="e">
        <f t="shared" si="10"/>
        <v>#N/A</v>
      </c>
      <c r="H319" s="24">
        <v>6</v>
      </c>
    </row>
    <row r="320" spans="1:8" hidden="1">
      <c r="A320" s="32"/>
      <c r="B320" s="32"/>
      <c r="C320" s="33" t="e">
        <f t="shared" si="9"/>
        <v>#N/A</v>
      </c>
      <c r="D320" s="19">
        <v>202500034</v>
      </c>
      <c r="E320">
        <v>41</v>
      </c>
      <c r="F320" t="e">
        <f>Tabela1[[#This Row],[Total de jovens na turma ]]*3</f>
        <v>#N/A</v>
      </c>
      <c r="G320" s="37" t="e">
        <f t="shared" si="10"/>
        <v>#N/A</v>
      </c>
      <c r="H320" s="24">
        <v>6</v>
      </c>
    </row>
    <row r="321" spans="1:8" hidden="1">
      <c r="A321" s="32"/>
      <c r="B321" s="32"/>
      <c r="C321" s="33" t="e">
        <f t="shared" si="9"/>
        <v>#N/A</v>
      </c>
      <c r="D321" s="18">
        <v>202500034</v>
      </c>
      <c r="E321">
        <v>41</v>
      </c>
      <c r="F321" t="e">
        <f>Tabela1[[#This Row],[Total de jovens na turma ]]*3</f>
        <v>#N/A</v>
      </c>
      <c r="G321" s="37" t="e">
        <f t="shared" si="10"/>
        <v>#N/A</v>
      </c>
      <c r="H321" s="24">
        <v>6</v>
      </c>
    </row>
    <row r="322" spans="1:8" hidden="1">
      <c r="A322" s="32"/>
      <c r="B322" s="32"/>
      <c r="C322" s="33" t="e">
        <f t="shared" si="9"/>
        <v>#N/A</v>
      </c>
      <c r="D322" s="19">
        <v>202500034</v>
      </c>
      <c r="E322">
        <v>41</v>
      </c>
      <c r="F322" t="e">
        <f>Tabela1[[#This Row],[Total de jovens na turma ]]*3</f>
        <v>#N/A</v>
      </c>
      <c r="G322" s="37" t="e">
        <f t="shared" si="10"/>
        <v>#N/A</v>
      </c>
      <c r="H322" s="24">
        <v>6</v>
      </c>
    </row>
    <row r="323" spans="1:8" hidden="1">
      <c r="A323" s="32"/>
      <c r="B323" s="32"/>
      <c r="C323" s="33" t="e">
        <f t="shared" si="9"/>
        <v>#N/A</v>
      </c>
      <c r="D323" s="18">
        <v>202500034</v>
      </c>
      <c r="E323">
        <v>41</v>
      </c>
      <c r="F323" t="e">
        <f>Tabela1[[#This Row],[Total de jovens na turma ]]*3</f>
        <v>#N/A</v>
      </c>
      <c r="G323" s="37" t="e">
        <f t="shared" si="10"/>
        <v>#N/A</v>
      </c>
      <c r="H323" s="24">
        <v>6</v>
      </c>
    </row>
    <row r="324" spans="1:8" hidden="1">
      <c r="A324" s="32"/>
      <c r="B324" s="32"/>
      <c r="C324" s="33" t="e">
        <f t="shared" si="9"/>
        <v>#N/A</v>
      </c>
      <c r="D324" s="19">
        <v>202500034</v>
      </c>
      <c r="E324">
        <v>41</v>
      </c>
      <c r="F324" t="e">
        <f>Tabela1[[#This Row],[Total de jovens na turma ]]*3</f>
        <v>#N/A</v>
      </c>
      <c r="G324" s="37" t="e">
        <f t="shared" si="10"/>
        <v>#N/A</v>
      </c>
      <c r="H324" s="24">
        <v>6</v>
      </c>
    </row>
    <row r="325" spans="1:8" hidden="1">
      <c r="A325" s="32"/>
      <c r="B325" s="32"/>
      <c r="C325" s="33" t="e">
        <f t="shared" ref="C325:C388" si="11">VLOOKUP(A325,D:E,2,0)</f>
        <v>#N/A</v>
      </c>
      <c r="D325" s="18">
        <v>202500034</v>
      </c>
      <c r="E325">
        <v>41</v>
      </c>
      <c r="F325" t="e">
        <f>Tabela1[[#This Row],[Total de jovens na turma ]]*3</f>
        <v>#N/A</v>
      </c>
      <c r="G325" s="37" t="e">
        <f t="shared" si="10"/>
        <v>#N/A</v>
      </c>
      <c r="H325" s="24">
        <v>6</v>
      </c>
    </row>
    <row r="326" spans="1:8" hidden="1">
      <c r="A326" s="32"/>
      <c r="B326" s="32"/>
      <c r="C326" s="33" t="e">
        <f t="shared" si="11"/>
        <v>#N/A</v>
      </c>
      <c r="D326" s="19">
        <v>202500034</v>
      </c>
      <c r="E326">
        <v>41</v>
      </c>
      <c r="F326" t="e">
        <f>Tabela1[[#This Row],[Total de jovens na turma ]]*3</f>
        <v>#N/A</v>
      </c>
      <c r="G326" s="37" t="e">
        <f t="shared" si="10"/>
        <v>#N/A</v>
      </c>
      <c r="H326" s="24">
        <v>6</v>
      </c>
    </row>
    <row r="327" spans="1:8" hidden="1">
      <c r="A327" s="32"/>
      <c r="B327" s="32"/>
      <c r="C327" s="33" t="e">
        <f t="shared" si="11"/>
        <v>#N/A</v>
      </c>
      <c r="D327" s="18">
        <v>202500034</v>
      </c>
      <c r="E327">
        <v>41</v>
      </c>
      <c r="F327" t="e">
        <f>Tabela1[[#This Row],[Total de jovens na turma ]]*3</f>
        <v>#N/A</v>
      </c>
      <c r="G327" s="37" t="e">
        <f t="shared" ref="G327:G390" si="12">F327/24</f>
        <v>#N/A</v>
      </c>
      <c r="H327" s="24">
        <v>6</v>
      </c>
    </row>
    <row r="328" spans="1:8" hidden="1">
      <c r="A328" s="32"/>
      <c r="B328" s="32"/>
      <c r="C328" s="33" t="e">
        <f t="shared" si="11"/>
        <v>#N/A</v>
      </c>
      <c r="D328" s="19">
        <v>202500034</v>
      </c>
      <c r="E328">
        <v>41</v>
      </c>
      <c r="F328" t="e">
        <f>Tabela1[[#This Row],[Total de jovens na turma ]]*3</f>
        <v>#N/A</v>
      </c>
      <c r="G328" s="37" t="e">
        <f t="shared" si="12"/>
        <v>#N/A</v>
      </c>
      <c r="H328" s="24">
        <v>6</v>
      </c>
    </row>
    <row r="329" spans="1:8" hidden="1">
      <c r="A329" s="32"/>
      <c r="B329" s="32"/>
      <c r="C329" s="33" t="e">
        <f t="shared" si="11"/>
        <v>#N/A</v>
      </c>
      <c r="D329" s="18">
        <v>202500034</v>
      </c>
      <c r="E329">
        <v>41</v>
      </c>
      <c r="F329" t="e">
        <f>Tabela1[[#This Row],[Total de jovens na turma ]]*3</f>
        <v>#N/A</v>
      </c>
      <c r="G329" s="37" t="e">
        <f t="shared" si="12"/>
        <v>#N/A</v>
      </c>
      <c r="H329" s="24">
        <v>6</v>
      </c>
    </row>
    <row r="330" spans="1:8" hidden="1">
      <c r="A330" s="32"/>
      <c r="B330" s="32"/>
      <c r="C330" s="33" t="e">
        <f t="shared" si="11"/>
        <v>#N/A</v>
      </c>
      <c r="D330" s="19">
        <v>202500034</v>
      </c>
      <c r="E330">
        <v>41</v>
      </c>
      <c r="F330" t="e">
        <f>Tabela1[[#This Row],[Total de jovens na turma ]]*3</f>
        <v>#N/A</v>
      </c>
      <c r="G330" s="37" t="e">
        <f t="shared" si="12"/>
        <v>#N/A</v>
      </c>
      <c r="H330" s="24">
        <v>6</v>
      </c>
    </row>
    <row r="331" spans="1:8" hidden="1">
      <c r="A331" s="32"/>
      <c r="B331" s="32"/>
      <c r="C331" s="33" t="e">
        <f t="shared" si="11"/>
        <v>#N/A</v>
      </c>
      <c r="D331" s="18">
        <v>202500034</v>
      </c>
      <c r="E331">
        <v>41</v>
      </c>
      <c r="F331" t="e">
        <f>Tabela1[[#This Row],[Total de jovens na turma ]]*3</f>
        <v>#N/A</v>
      </c>
      <c r="G331" s="37" t="e">
        <f t="shared" si="12"/>
        <v>#N/A</v>
      </c>
      <c r="H331" s="24">
        <v>6</v>
      </c>
    </row>
    <row r="332" spans="1:8" hidden="1">
      <c r="A332" s="32"/>
      <c r="B332" s="32"/>
      <c r="C332" s="33" t="e">
        <f t="shared" si="11"/>
        <v>#N/A</v>
      </c>
      <c r="D332" s="19">
        <v>202500034</v>
      </c>
      <c r="E332">
        <v>41</v>
      </c>
      <c r="F332" t="e">
        <f>Tabela1[[#This Row],[Total de jovens na turma ]]*3</f>
        <v>#N/A</v>
      </c>
      <c r="G332" s="37" t="e">
        <f t="shared" si="12"/>
        <v>#N/A</v>
      </c>
      <c r="H332" s="24">
        <v>6</v>
      </c>
    </row>
    <row r="333" spans="1:8" hidden="1">
      <c r="A333" s="32"/>
      <c r="B333" s="32"/>
      <c r="C333" s="33" t="e">
        <f t="shared" si="11"/>
        <v>#N/A</v>
      </c>
      <c r="D333" s="18">
        <v>202500118</v>
      </c>
      <c r="E333">
        <v>30</v>
      </c>
      <c r="F333" t="e">
        <f>Tabela1[[#This Row],[Total de jovens na turma ]]*3</f>
        <v>#N/A</v>
      </c>
      <c r="G333" s="37" t="e">
        <f t="shared" si="12"/>
        <v>#N/A</v>
      </c>
      <c r="H333" s="24">
        <v>6</v>
      </c>
    </row>
    <row r="334" spans="1:8" hidden="1">
      <c r="A334" s="32"/>
      <c r="B334" s="32"/>
      <c r="C334" s="33" t="e">
        <f t="shared" si="11"/>
        <v>#N/A</v>
      </c>
      <c r="D334" s="19">
        <v>202500118</v>
      </c>
      <c r="E334">
        <v>30</v>
      </c>
      <c r="F334" t="e">
        <f>Tabela1[[#This Row],[Total de jovens na turma ]]*3</f>
        <v>#N/A</v>
      </c>
      <c r="G334" s="37" t="e">
        <f t="shared" si="12"/>
        <v>#N/A</v>
      </c>
      <c r="H334" s="24">
        <v>6</v>
      </c>
    </row>
    <row r="335" spans="1:8" hidden="1">
      <c r="A335" s="32"/>
      <c r="B335" s="32"/>
      <c r="C335" s="33" t="e">
        <f t="shared" si="11"/>
        <v>#N/A</v>
      </c>
      <c r="D335" s="20">
        <v>202500118</v>
      </c>
      <c r="E335">
        <v>30</v>
      </c>
      <c r="F335" t="e">
        <f>Tabela1[[#This Row],[Total de jovens na turma ]]*3</f>
        <v>#N/A</v>
      </c>
      <c r="G335" s="37" t="e">
        <f t="shared" si="12"/>
        <v>#N/A</v>
      </c>
      <c r="H335" s="24">
        <v>6</v>
      </c>
    </row>
    <row r="336" spans="1:8" hidden="1">
      <c r="A336" s="32"/>
      <c r="B336" s="32"/>
      <c r="C336" s="33" t="e">
        <f t="shared" si="11"/>
        <v>#N/A</v>
      </c>
      <c r="D336" s="19">
        <v>202500118</v>
      </c>
      <c r="E336">
        <v>30</v>
      </c>
      <c r="F336" t="e">
        <f>Tabela1[[#This Row],[Total de jovens na turma ]]*3</f>
        <v>#N/A</v>
      </c>
      <c r="G336" s="37" t="e">
        <f t="shared" si="12"/>
        <v>#N/A</v>
      </c>
      <c r="H336" s="24">
        <v>6</v>
      </c>
    </row>
    <row r="337" spans="1:8" hidden="1">
      <c r="A337" s="32"/>
      <c r="B337" s="32"/>
      <c r="C337" s="33" t="e">
        <f t="shared" si="11"/>
        <v>#N/A</v>
      </c>
      <c r="D337" s="18">
        <v>202500118</v>
      </c>
      <c r="E337">
        <v>30</v>
      </c>
      <c r="F337" t="e">
        <f>Tabela1[[#This Row],[Total de jovens na turma ]]*3</f>
        <v>#N/A</v>
      </c>
      <c r="G337" s="37" t="e">
        <f t="shared" si="12"/>
        <v>#N/A</v>
      </c>
      <c r="H337" s="24">
        <v>6</v>
      </c>
    </row>
    <row r="338" spans="1:8" hidden="1">
      <c r="A338" s="32"/>
      <c r="B338" s="32"/>
      <c r="C338" s="33" t="e">
        <f t="shared" si="11"/>
        <v>#N/A</v>
      </c>
      <c r="D338" s="19">
        <v>202500118</v>
      </c>
      <c r="E338">
        <v>30</v>
      </c>
      <c r="F338" t="e">
        <f>Tabela1[[#This Row],[Total de jovens na turma ]]*3</f>
        <v>#N/A</v>
      </c>
      <c r="G338" s="37" t="e">
        <f t="shared" si="12"/>
        <v>#N/A</v>
      </c>
      <c r="H338" s="24">
        <v>6</v>
      </c>
    </row>
    <row r="339" spans="1:8" hidden="1">
      <c r="A339" s="32"/>
      <c r="B339" s="32"/>
      <c r="C339" s="33" t="e">
        <f t="shared" si="11"/>
        <v>#N/A</v>
      </c>
      <c r="D339" s="18">
        <v>202500118</v>
      </c>
      <c r="E339">
        <v>30</v>
      </c>
      <c r="F339" t="e">
        <f>Tabela1[[#This Row],[Total de jovens na turma ]]*3</f>
        <v>#N/A</v>
      </c>
      <c r="G339" s="37" t="e">
        <f t="shared" si="12"/>
        <v>#N/A</v>
      </c>
      <c r="H339" s="24">
        <v>6</v>
      </c>
    </row>
    <row r="340" spans="1:8" hidden="1">
      <c r="A340" s="32"/>
      <c r="B340" s="32"/>
      <c r="C340" s="33" t="e">
        <f t="shared" si="11"/>
        <v>#N/A</v>
      </c>
      <c r="D340" s="19">
        <v>202500118</v>
      </c>
      <c r="E340">
        <v>30</v>
      </c>
      <c r="F340" t="e">
        <f>Tabela1[[#This Row],[Total de jovens na turma ]]*3</f>
        <v>#N/A</v>
      </c>
      <c r="G340" s="37" t="e">
        <f t="shared" si="12"/>
        <v>#N/A</v>
      </c>
      <c r="H340" s="24">
        <v>6</v>
      </c>
    </row>
    <row r="341" spans="1:8" hidden="1">
      <c r="A341" s="32"/>
      <c r="B341" s="32"/>
      <c r="C341" s="33" t="e">
        <f t="shared" si="11"/>
        <v>#N/A</v>
      </c>
      <c r="D341" s="18">
        <v>202500118</v>
      </c>
      <c r="E341">
        <v>30</v>
      </c>
      <c r="F341" t="e">
        <f>Tabela1[[#This Row],[Total de jovens na turma ]]*3</f>
        <v>#N/A</v>
      </c>
      <c r="G341" s="37" t="e">
        <f t="shared" si="12"/>
        <v>#N/A</v>
      </c>
      <c r="H341" s="24">
        <v>6</v>
      </c>
    </row>
    <row r="342" spans="1:8" hidden="1">
      <c r="A342" s="32"/>
      <c r="B342" s="32"/>
      <c r="C342" s="33" t="e">
        <f t="shared" si="11"/>
        <v>#N/A</v>
      </c>
      <c r="D342" s="19">
        <v>202500118</v>
      </c>
      <c r="E342">
        <v>30</v>
      </c>
      <c r="F342" t="e">
        <f>Tabela1[[#This Row],[Total de jovens na turma ]]*3</f>
        <v>#N/A</v>
      </c>
      <c r="G342" s="37" t="e">
        <f t="shared" si="12"/>
        <v>#N/A</v>
      </c>
      <c r="H342" s="24">
        <v>6</v>
      </c>
    </row>
    <row r="343" spans="1:8" hidden="1">
      <c r="A343" s="32"/>
      <c r="B343" s="32"/>
      <c r="C343" s="33" t="e">
        <f t="shared" si="11"/>
        <v>#N/A</v>
      </c>
      <c r="D343" s="18">
        <v>202500118</v>
      </c>
      <c r="E343">
        <v>30</v>
      </c>
      <c r="F343" t="e">
        <f>Tabela1[[#This Row],[Total de jovens na turma ]]*3</f>
        <v>#N/A</v>
      </c>
      <c r="G343" s="37" t="e">
        <f t="shared" si="12"/>
        <v>#N/A</v>
      </c>
      <c r="H343" s="24">
        <v>6</v>
      </c>
    </row>
    <row r="344" spans="1:8" hidden="1">
      <c r="A344" s="32"/>
      <c r="B344" s="32"/>
      <c r="C344" s="33" t="e">
        <f t="shared" si="11"/>
        <v>#N/A</v>
      </c>
      <c r="D344" s="19">
        <v>202500118</v>
      </c>
      <c r="E344">
        <v>30</v>
      </c>
      <c r="F344" t="e">
        <f>Tabela1[[#This Row],[Total de jovens na turma ]]*3</f>
        <v>#N/A</v>
      </c>
      <c r="G344" s="37" t="e">
        <f t="shared" si="12"/>
        <v>#N/A</v>
      </c>
      <c r="H344" s="24">
        <v>6</v>
      </c>
    </row>
    <row r="345" spans="1:8" hidden="1">
      <c r="A345" s="32"/>
      <c r="B345" s="32"/>
      <c r="C345" s="33" t="e">
        <f t="shared" si="11"/>
        <v>#N/A</v>
      </c>
      <c r="D345" s="18">
        <v>202500118</v>
      </c>
      <c r="E345">
        <v>30</v>
      </c>
      <c r="F345" t="e">
        <f>Tabela1[[#This Row],[Total de jovens na turma ]]*3</f>
        <v>#N/A</v>
      </c>
      <c r="G345" s="37" t="e">
        <f t="shared" si="12"/>
        <v>#N/A</v>
      </c>
      <c r="H345" s="24">
        <v>6</v>
      </c>
    </row>
    <row r="346" spans="1:8" hidden="1">
      <c r="A346" s="32"/>
      <c r="B346" s="32"/>
      <c r="C346" s="33" t="e">
        <f t="shared" si="11"/>
        <v>#N/A</v>
      </c>
      <c r="D346" s="19">
        <v>202500118</v>
      </c>
      <c r="E346">
        <v>30</v>
      </c>
      <c r="F346" t="e">
        <f>Tabela1[[#This Row],[Total de jovens na turma ]]*3</f>
        <v>#N/A</v>
      </c>
      <c r="G346" s="37" t="e">
        <f t="shared" si="12"/>
        <v>#N/A</v>
      </c>
      <c r="H346" s="24">
        <v>6</v>
      </c>
    </row>
    <row r="347" spans="1:8" hidden="1">
      <c r="A347" s="32"/>
      <c r="B347" s="32"/>
      <c r="C347" s="33" t="e">
        <f t="shared" si="11"/>
        <v>#N/A</v>
      </c>
      <c r="D347" s="18">
        <v>202500118</v>
      </c>
      <c r="E347">
        <v>30</v>
      </c>
      <c r="F347" t="e">
        <f>Tabela1[[#This Row],[Total de jovens na turma ]]*3</f>
        <v>#N/A</v>
      </c>
      <c r="G347" s="37" t="e">
        <f t="shared" si="12"/>
        <v>#N/A</v>
      </c>
      <c r="H347" s="24">
        <v>6</v>
      </c>
    </row>
    <row r="348" spans="1:8" hidden="1">
      <c r="A348" s="32"/>
      <c r="B348" s="32"/>
      <c r="C348" s="33" t="e">
        <f t="shared" si="11"/>
        <v>#N/A</v>
      </c>
      <c r="D348" s="19">
        <v>202500118</v>
      </c>
      <c r="E348">
        <v>30</v>
      </c>
      <c r="F348" t="e">
        <f>Tabela1[[#This Row],[Total de jovens na turma ]]*3</f>
        <v>#N/A</v>
      </c>
      <c r="G348" s="37" t="e">
        <f t="shared" si="12"/>
        <v>#N/A</v>
      </c>
      <c r="H348" s="24">
        <v>6</v>
      </c>
    </row>
    <row r="349" spans="1:8" hidden="1">
      <c r="A349" s="32"/>
      <c r="B349" s="32"/>
      <c r="C349" s="33" t="e">
        <f t="shared" si="11"/>
        <v>#N/A</v>
      </c>
      <c r="D349" s="18">
        <v>202500118</v>
      </c>
      <c r="E349">
        <v>30</v>
      </c>
      <c r="F349" t="e">
        <f>Tabela1[[#This Row],[Total de jovens na turma ]]*3</f>
        <v>#N/A</v>
      </c>
      <c r="G349" s="37" t="e">
        <f t="shared" si="12"/>
        <v>#N/A</v>
      </c>
      <c r="H349" s="24">
        <v>6</v>
      </c>
    </row>
    <row r="350" spans="1:8" hidden="1">
      <c r="A350" s="32"/>
      <c r="B350" s="32"/>
      <c r="C350" s="33" t="e">
        <f t="shared" si="11"/>
        <v>#N/A</v>
      </c>
      <c r="D350" s="19">
        <v>202500118</v>
      </c>
      <c r="E350">
        <v>30</v>
      </c>
      <c r="F350" t="e">
        <f>Tabela1[[#This Row],[Total de jovens na turma ]]*3</f>
        <v>#N/A</v>
      </c>
      <c r="G350" s="37" t="e">
        <f t="shared" si="12"/>
        <v>#N/A</v>
      </c>
      <c r="H350" s="24">
        <v>6</v>
      </c>
    </row>
    <row r="351" spans="1:8" hidden="1">
      <c r="A351" s="32"/>
      <c r="B351" s="32"/>
      <c r="C351" s="33" t="e">
        <f t="shared" si="11"/>
        <v>#N/A</v>
      </c>
      <c r="D351" s="18">
        <v>202500118</v>
      </c>
      <c r="E351">
        <v>30</v>
      </c>
      <c r="F351" t="e">
        <f>Tabela1[[#This Row],[Total de jovens na turma ]]*3</f>
        <v>#N/A</v>
      </c>
      <c r="G351" s="37" t="e">
        <f t="shared" si="12"/>
        <v>#N/A</v>
      </c>
      <c r="H351" s="24">
        <v>6</v>
      </c>
    </row>
    <row r="352" spans="1:8" hidden="1">
      <c r="A352" s="32"/>
      <c r="B352" s="32"/>
      <c r="C352" s="33" t="e">
        <f t="shared" si="11"/>
        <v>#N/A</v>
      </c>
      <c r="D352" s="19">
        <v>202500118</v>
      </c>
      <c r="E352">
        <v>30</v>
      </c>
      <c r="F352" t="e">
        <f>Tabela1[[#This Row],[Total de jovens na turma ]]*3</f>
        <v>#N/A</v>
      </c>
      <c r="G352" s="37" t="e">
        <f t="shared" si="12"/>
        <v>#N/A</v>
      </c>
      <c r="H352" s="24">
        <v>6</v>
      </c>
    </row>
    <row r="353" spans="1:8" hidden="1">
      <c r="A353" s="32"/>
      <c r="B353" s="32"/>
      <c r="C353" s="33" t="e">
        <f t="shared" si="11"/>
        <v>#N/A</v>
      </c>
      <c r="D353" s="18">
        <v>202500118</v>
      </c>
      <c r="E353">
        <v>30</v>
      </c>
      <c r="F353" t="e">
        <f>Tabela1[[#This Row],[Total de jovens na turma ]]*3</f>
        <v>#N/A</v>
      </c>
      <c r="G353" s="37" t="e">
        <f t="shared" si="12"/>
        <v>#N/A</v>
      </c>
      <c r="H353" s="24">
        <v>6</v>
      </c>
    </row>
    <row r="354" spans="1:8" hidden="1">
      <c r="A354" s="32"/>
      <c r="B354" s="32"/>
      <c r="C354" s="33" t="e">
        <f t="shared" si="11"/>
        <v>#N/A</v>
      </c>
      <c r="D354" s="19">
        <v>202500118</v>
      </c>
      <c r="E354">
        <v>30</v>
      </c>
      <c r="F354" t="e">
        <f>Tabela1[[#This Row],[Total de jovens na turma ]]*3</f>
        <v>#N/A</v>
      </c>
      <c r="G354" s="37" t="e">
        <f t="shared" si="12"/>
        <v>#N/A</v>
      </c>
      <c r="H354" s="24">
        <v>6</v>
      </c>
    </row>
    <row r="355" spans="1:8" hidden="1">
      <c r="A355" s="32"/>
      <c r="B355" s="32"/>
      <c r="C355" s="33" t="e">
        <f t="shared" si="11"/>
        <v>#N/A</v>
      </c>
      <c r="D355" s="18">
        <v>202500118</v>
      </c>
      <c r="E355">
        <v>30</v>
      </c>
      <c r="F355" t="e">
        <f>Tabela1[[#This Row],[Total de jovens na turma ]]*3</f>
        <v>#N/A</v>
      </c>
      <c r="G355" s="37" t="e">
        <f t="shared" si="12"/>
        <v>#N/A</v>
      </c>
      <c r="H355" s="24">
        <v>6</v>
      </c>
    </row>
    <row r="356" spans="1:8" hidden="1">
      <c r="A356" s="32"/>
      <c r="B356" s="32"/>
      <c r="C356" s="33" t="e">
        <f t="shared" si="11"/>
        <v>#N/A</v>
      </c>
      <c r="D356" s="19">
        <v>202500118</v>
      </c>
      <c r="E356">
        <v>30</v>
      </c>
      <c r="F356" t="e">
        <f>Tabela1[[#This Row],[Total de jovens na turma ]]*3</f>
        <v>#N/A</v>
      </c>
      <c r="G356" s="37" t="e">
        <f t="shared" si="12"/>
        <v>#N/A</v>
      </c>
      <c r="H356" s="24">
        <v>6</v>
      </c>
    </row>
    <row r="357" spans="1:8" hidden="1">
      <c r="A357" s="32"/>
      <c r="B357" s="32"/>
      <c r="C357" s="33" t="e">
        <f t="shared" si="11"/>
        <v>#N/A</v>
      </c>
      <c r="D357" s="18">
        <v>202500118</v>
      </c>
      <c r="E357">
        <v>30</v>
      </c>
      <c r="F357" t="e">
        <f>Tabela1[[#This Row],[Total de jovens na turma ]]*3</f>
        <v>#N/A</v>
      </c>
      <c r="G357" s="37" t="e">
        <f t="shared" si="12"/>
        <v>#N/A</v>
      </c>
      <c r="H357" s="24">
        <v>6</v>
      </c>
    </row>
    <row r="358" spans="1:8" hidden="1">
      <c r="A358" s="32"/>
      <c r="B358" s="32"/>
      <c r="C358" s="33" t="e">
        <f t="shared" si="11"/>
        <v>#N/A</v>
      </c>
      <c r="D358" s="19">
        <v>202500118</v>
      </c>
      <c r="E358">
        <v>30</v>
      </c>
      <c r="F358" t="e">
        <f>Tabela1[[#This Row],[Total de jovens na turma ]]*3</f>
        <v>#N/A</v>
      </c>
      <c r="G358" s="37" t="e">
        <f t="shared" si="12"/>
        <v>#N/A</v>
      </c>
      <c r="H358" s="24">
        <v>6</v>
      </c>
    </row>
    <row r="359" spans="1:8" hidden="1">
      <c r="A359" s="32"/>
      <c r="B359" s="32"/>
      <c r="C359" s="33" t="e">
        <f t="shared" si="11"/>
        <v>#N/A</v>
      </c>
      <c r="D359" s="18">
        <v>202500118</v>
      </c>
      <c r="E359">
        <v>30</v>
      </c>
      <c r="F359" t="e">
        <f>Tabela1[[#This Row],[Total de jovens na turma ]]*3</f>
        <v>#N/A</v>
      </c>
      <c r="G359" s="37" t="e">
        <f t="shared" si="12"/>
        <v>#N/A</v>
      </c>
      <c r="H359" s="24">
        <v>6</v>
      </c>
    </row>
    <row r="360" spans="1:8" hidden="1">
      <c r="A360" s="32"/>
      <c r="B360" s="32"/>
      <c r="C360" s="33" t="e">
        <f t="shared" si="11"/>
        <v>#N/A</v>
      </c>
      <c r="D360" s="19">
        <v>202500118</v>
      </c>
      <c r="E360">
        <v>30</v>
      </c>
      <c r="F360" t="e">
        <f>Tabela1[[#This Row],[Total de jovens na turma ]]*3</f>
        <v>#N/A</v>
      </c>
      <c r="G360" s="37" t="e">
        <f t="shared" si="12"/>
        <v>#N/A</v>
      </c>
      <c r="H360" s="24">
        <v>6</v>
      </c>
    </row>
    <row r="361" spans="1:8" hidden="1">
      <c r="A361" s="32"/>
      <c r="B361" s="32"/>
      <c r="C361" s="33" t="e">
        <f t="shared" si="11"/>
        <v>#N/A</v>
      </c>
      <c r="D361" s="18">
        <v>202500118</v>
      </c>
      <c r="E361">
        <v>30</v>
      </c>
      <c r="F361" t="e">
        <f>Tabela1[[#This Row],[Total de jovens na turma ]]*3</f>
        <v>#N/A</v>
      </c>
      <c r="G361" s="37" t="e">
        <f t="shared" si="12"/>
        <v>#N/A</v>
      </c>
      <c r="H361" s="24">
        <v>6</v>
      </c>
    </row>
    <row r="362" spans="1:8" hidden="1">
      <c r="A362" s="32"/>
      <c r="B362" s="32"/>
      <c r="C362" s="33" t="e">
        <f t="shared" si="11"/>
        <v>#N/A</v>
      </c>
      <c r="D362" s="19">
        <v>202500118</v>
      </c>
      <c r="E362">
        <v>30</v>
      </c>
      <c r="F362" t="e">
        <f>Tabela1[[#This Row],[Total de jovens na turma ]]*3</f>
        <v>#N/A</v>
      </c>
      <c r="G362" s="37" t="e">
        <f t="shared" si="12"/>
        <v>#N/A</v>
      </c>
      <c r="H362" s="24">
        <v>6</v>
      </c>
    </row>
    <row r="363" spans="1:8" hidden="1">
      <c r="A363" s="32"/>
      <c r="B363" s="32"/>
      <c r="C363" s="33" t="e">
        <f t="shared" si="11"/>
        <v>#N/A</v>
      </c>
      <c r="D363" s="18">
        <v>202500119</v>
      </c>
      <c r="E363">
        <v>25</v>
      </c>
      <c r="F363" t="e">
        <f>Tabela1[[#This Row],[Total de jovens na turma ]]*3</f>
        <v>#N/A</v>
      </c>
      <c r="G363" s="37" t="e">
        <f t="shared" si="12"/>
        <v>#N/A</v>
      </c>
      <c r="H363" s="24">
        <v>6</v>
      </c>
    </row>
    <row r="364" spans="1:8" hidden="1">
      <c r="A364" s="32"/>
      <c r="B364" s="32"/>
      <c r="C364" s="33" t="e">
        <f t="shared" si="11"/>
        <v>#N/A</v>
      </c>
      <c r="D364" s="19">
        <v>202500119</v>
      </c>
      <c r="E364">
        <v>25</v>
      </c>
      <c r="F364" t="e">
        <f>Tabela1[[#This Row],[Total de jovens na turma ]]*3</f>
        <v>#N/A</v>
      </c>
      <c r="G364" s="37" t="e">
        <f t="shared" si="12"/>
        <v>#N/A</v>
      </c>
      <c r="H364" s="24">
        <v>6</v>
      </c>
    </row>
    <row r="365" spans="1:8" hidden="1">
      <c r="A365" s="32"/>
      <c r="B365" s="32"/>
      <c r="C365" s="33" t="e">
        <f t="shared" si="11"/>
        <v>#N/A</v>
      </c>
      <c r="D365" s="18">
        <v>202500119</v>
      </c>
      <c r="E365">
        <v>25</v>
      </c>
      <c r="F365" t="e">
        <f>Tabela1[[#This Row],[Total de jovens na turma ]]*3</f>
        <v>#N/A</v>
      </c>
      <c r="G365" s="37" t="e">
        <f t="shared" si="12"/>
        <v>#N/A</v>
      </c>
      <c r="H365" s="24">
        <v>6</v>
      </c>
    </row>
    <row r="366" spans="1:8" hidden="1">
      <c r="A366" s="32"/>
      <c r="B366" s="32"/>
      <c r="C366" s="33" t="e">
        <f t="shared" si="11"/>
        <v>#N/A</v>
      </c>
      <c r="D366" s="19">
        <v>202500119</v>
      </c>
      <c r="E366">
        <v>25</v>
      </c>
      <c r="F366" t="e">
        <f>Tabela1[[#This Row],[Total de jovens na turma ]]*3</f>
        <v>#N/A</v>
      </c>
      <c r="G366" s="37" t="e">
        <f t="shared" si="12"/>
        <v>#N/A</v>
      </c>
      <c r="H366" s="24">
        <v>6</v>
      </c>
    </row>
    <row r="367" spans="1:8" hidden="1">
      <c r="A367" s="32"/>
      <c r="B367" s="32"/>
      <c r="C367" s="33" t="e">
        <f t="shared" si="11"/>
        <v>#N/A</v>
      </c>
      <c r="D367" s="18">
        <v>202500119</v>
      </c>
      <c r="E367">
        <v>25</v>
      </c>
      <c r="F367" t="e">
        <f>Tabela1[[#This Row],[Total de jovens na turma ]]*3</f>
        <v>#N/A</v>
      </c>
      <c r="G367" s="37" t="e">
        <f t="shared" si="12"/>
        <v>#N/A</v>
      </c>
      <c r="H367" s="24">
        <v>6</v>
      </c>
    </row>
    <row r="368" spans="1:8" hidden="1">
      <c r="A368" s="32"/>
      <c r="B368" s="32"/>
      <c r="C368" s="33" t="e">
        <f t="shared" si="11"/>
        <v>#N/A</v>
      </c>
      <c r="D368" s="19">
        <v>202500119</v>
      </c>
      <c r="E368">
        <v>25</v>
      </c>
      <c r="F368" t="e">
        <f>Tabela1[[#This Row],[Total de jovens na turma ]]*3</f>
        <v>#N/A</v>
      </c>
      <c r="G368" s="37" t="e">
        <f t="shared" si="12"/>
        <v>#N/A</v>
      </c>
      <c r="H368" s="24">
        <v>6</v>
      </c>
    </row>
    <row r="369" spans="1:8" hidden="1">
      <c r="A369" s="32"/>
      <c r="B369" s="32"/>
      <c r="C369" s="33" t="e">
        <f t="shared" si="11"/>
        <v>#N/A</v>
      </c>
      <c r="D369" s="18">
        <v>202500119</v>
      </c>
      <c r="E369">
        <v>25</v>
      </c>
      <c r="F369" t="e">
        <f>Tabela1[[#This Row],[Total de jovens na turma ]]*3</f>
        <v>#N/A</v>
      </c>
      <c r="G369" s="37" t="e">
        <f t="shared" si="12"/>
        <v>#N/A</v>
      </c>
      <c r="H369" s="24">
        <v>6</v>
      </c>
    </row>
    <row r="370" spans="1:8" hidden="1">
      <c r="A370" s="32"/>
      <c r="B370" s="32"/>
      <c r="C370" s="33" t="e">
        <f t="shared" si="11"/>
        <v>#N/A</v>
      </c>
      <c r="D370" s="19">
        <v>202500119</v>
      </c>
      <c r="E370">
        <v>25</v>
      </c>
      <c r="F370" t="e">
        <f>Tabela1[[#This Row],[Total de jovens na turma ]]*3</f>
        <v>#N/A</v>
      </c>
      <c r="G370" s="37" t="e">
        <f t="shared" si="12"/>
        <v>#N/A</v>
      </c>
      <c r="H370" s="24">
        <v>6</v>
      </c>
    </row>
    <row r="371" spans="1:8" hidden="1">
      <c r="A371" s="32"/>
      <c r="B371" s="32"/>
      <c r="C371" s="33" t="e">
        <f t="shared" si="11"/>
        <v>#N/A</v>
      </c>
      <c r="D371" s="18">
        <v>202500119</v>
      </c>
      <c r="E371">
        <v>25</v>
      </c>
      <c r="F371" t="e">
        <f>Tabela1[[#This Row],[Total de jovens na turma ]]*3</f>
        <v>#N/A</v>
      </c>
      <c r="G371" s="37" t="e">
        <f t="shared" si="12"/>
        <v>#N/A</v>
      </c>
      <c r="H371" s="24">
        <v>6</v>
      </c>
    </row>
    <row r="372" spans="1:8" hidden="1">
      <c r="A372" s="32"/>
      <c r="B372" s="32"/>
      <c r="C372" s="33" t="e">
        <f t="shared" si="11"/>
        <v>#N/A</v>
      </c>
      <c r="D372" s="19">
        <v>202500119</v>
      </c>
      <c r="E372">
        <v>25</v>
      </c>
      <c r="F372" t="e">
        <f>Tabela1[[#This Row],[Total de jovens na turma ]]*3</f>
        <v>#N/A</v>
      </c>
      <c r="G372" s="37" t="e">
        <f t="shared" si="12"/>
        <v>#N/A</v>
      </c>
      <c r="H372" s="24">
        <v>6</v>
      </c>
    </row>
    <row r="373" spans="1:8" hidden="1">
      <c r="A373" s="32"/>
      <c r="B373" s="32"/>
      <c r="C373" s="33" t="e">
        <f t="shared" si="11"/>
        <v>#N/A</v>
      </c>
      <c r="D373" s="18">
        <v>202500119</v>
      </c>
      <c r="E373">
        <v>25</v>
      </c>
      <c r="F373" t="e">
        <f>Tabela1[[#This Row],[Total de jovens na turma ]]*3</f>
        <v>#N/A</v>
      </c>
      <c r="G373" s="37" t="e">
        <f t="shared" si="12"/>
        <v>#N/A</v>
      </c>
      <c r="H373" s="24">
        <v>6</v>
      </c>
    </row>
    <row r="374" spans="1:8" hidden="1">
      <c r="A374" s="32"/>
      <c r="B374" s="32"/>
      <c r="C374" s="33" t="e">
        <f t="shared" si="11"/>
        <v>#N/A</v>
      </c>
      <c r="D374" s="19">
        <v>202500119</v>
      </c>
      <c r="E374">
        <v>25</v>
      </c>
      <c r="F374" t="e">
        <f>Tabela1[[#This Row],[Total de jovens na turma ]]*3</f>
        <v>#N/A</v>
      </c>
      <c r="G374" s="37" t="e">
        <f t="shared" si="12"/>
        <v>#N/A</v>
      </c>
      <c r="H374" s="24">
        <v>6</v>
      </c>
    </row>
    <row r="375" spans="1:8" hidden="1">
      <c r="A375" s="32"/>
      <c r="B375" s="32"/>
      <c r="C375" s="33" t="e">
        <f t="shared" si="11"/>
        <v>#N/A</v>
      </c>
      <c r="D375" s="18">
        <v>202500119</v>
      </c>
      <c r="E375">
        <v>25</v>
      </c>
      <c r="F375" t="e">
        <f>Tabela1[[#This Row],[Total de jovens na turma ]]*3</f>
        <v>#N/A</v>
      </c>
      <c r="G375" s="37" t="e">
        <f t="shared" si="12"/>
        <v>#N/A</v>
      </c>
      <c r="H375" s="24">
        <v>6</v>
      </c>
    </row>
    <row r="376" spans="1:8" hidden="1">
      <c r="A376" s="32"/>
      <c r="B376" s="32"/>
      <c r="C376" s="33" t="e">
        <f t="shared" si="11"/>
        <v>#N/A</v>
      </c>
      <c r="D376" s="19">
        <v>202500119</v>
      </c>
      <c r="E376">
        <v>25</v>
      </c>
      <c r="F376" t="e">
        <f>Tabela1[[#This Row],[Total de jovens na turma ]]*3</f>
        <v>#N/A</v>
      </c>
      <c r="G376" s="37" t="e">
        <f t="shared" si="12"/>
        <v>#N/A</v>
      </c>
      <c r="H376" s="24">
        <v>6</v>
      </c>
    </row>
    <row r="377" spans="1:8" hidden="1">
      <c r="A377" s="32"/>
      <c r="B377" s="32"/>
      <c r="C377" s="33" t="e">
        <f t="shared" si="11"/>
        <v>#N/A</v>
      </c>
      <c r="D377" s="18">
        <v>202500119</v>
      </c>
      <c r="E377">
        <v>25</v>
      </c>
      <c r="F377" t="e">
        <f>Tabela1[[#This Row],[Total de jovens na turma ]]*3</f>
        <v>#N/A</v>
      </c>
      <c r="G377" s="37" t="e">
        <f t="shared" si="12"/>
        <v>#N/A</v>
      </c>
      <c r="H377" s="24">
        <v>6</v>
      </c>
    </row>
    <row r="378" spans="1:8" hidden="1">
      <c r="A378" s="32"/>
      <c r="B378" s="32"/>
      <c r="C378" s="33" t="e">
        <f t="shared" si="11"/>
        <v>#N/A</v>
      </c>
      <c r="D378" s="19">
        <v>202500119</v>
      </c>
      <c r="E378">
        <v>25</v>
      </c>
      <c r="F378" t="e">
        <f>Tabela1[[#This Row],[Total de jovens na turma ]]*3</f>
        <v>#N/A</v>
      </c>
      <c r="G378" s="37" t="e">
        <f t="shared" si="12"/>
        <v>#N/A</v>
      </c>
      <c r="H378" s="24">
        <v>6</v>
      </c>
    </row>
    <row r="379" spans="1:8" hidden="1">
      <c r="A379" s="32"/>
      <c r="B379" s="32"/>
      <c r="C379" s="33" t="e">
        <f t="shared" si="11"/>
        <v>#N/A</v>
      </c>
      <c r="D379" s="18">
        <v>202500119</v>
      </c>
      <c r="E379">
        <v>25</v>
      </c>
      <c r="F379" t="e">
        <f>Tabela1[[#This Row],[Total de jovens na turma ]]*3</f>
        <v>#N/A</v>
      </c>
      <c r="G379" s="37" t="e">
        <f t="shared" si="12"/>
        <v>#N/A</v>
      </c>
      <c r="H379" s="24">
        <v>6</v>
      </c>
    </row>
    <row r="380" spans="1:8" hidden="1">
      <c r="A380" s="32"/>
      <c r="B380" s="32"/>
      <c r="C380" s="33" t="e">
        <f t="shared" si="11"/>
        <v>#N/A</v>
      </c>
      <c r="D380" s="19">
        <v>202500119</v>
      </c>
      <c r="E380">
        <v>25</v>
      </c>
      <c r="F380" t="e">
        <f>Tabela1[[#This Row],[Total de jovens na turma ]]*3</f>
        <v>#N/A</v>
      </c>
      <c r="G380" s="37" t="e">
        <f t="shared" si="12"/>
        <v>#N/A</v>
      </c>
      <c r="H380" s="24">
        <v>6</v>
      </c>
    </row>
    <row r="381" spans="1:8" hidden="1">
      <c r="A381" s="32"/>
      <c r="B381" s="32"/>
      <c r="C381" s="33" t="e">
        <f t="shared" si="11"/>
        <v>#N/A</v>
      </c>
      <c r="D381" s="18">
        <v>202500120</v>
      </c>
      <c r="E381">
        <v>38</v>
      </c>
      <c r="F381" t="e">
        <f>Tabela1[[#This Row],[Total de jovens na turma ]]*3</f>
        <v>#N/A</v>
      </c>
      <c r="G381" s="37" t="e">
        <f t="shared" si="12"/>
        <v>#N/A</v>
      </c>
      <c r="H381" s="24">
        <v>6</v>
      </c>
    </row>
    <row r="382" spans="1:8" hidden="1">
      <c r="A382" s="32"/>
      <c r="B382" s="32"/>
      <c r="C382" s="33" t="e">
        <f t="shared" si="11"/>
        <v>#N/A</v>
      </c>
      <c r="D382" s="19">
        <v>202500120</v>
      </c>
      <c r="E382">
        <v>38</v>
      </c>
      <c r="F382" t="e">
        <f>Tabela1[[#This Row],[Total de jovens na turma ]]*3</f>
        <v>#N/A</v>
      </c>
      <c r="G382" s="37" t="e">
        <f t="shared" si="12"/>
        <v>#N/A</v>
      </c>
      <c r="H382" s="24">
        <v>6</v>
      </c>
    </row>
    <row r="383" spans="1:8" hidden="1">
      <c r="A383" s="32"/>
      <c r="B383" s="32"/>
      <c r="C383" s="33" t="e">
        <f t="shared" si="11"/>
        <v>#N/A</v>
      </c>
      <c r="D383" s="18">
        <v>202500120</v>
      </c>
      <c r="E383">
        <v>38</v>
      </c>
      <c r="F383" t="e">
        <f>Tabela1[[#This Row],[Total de jovens na turma ]]*3</f>
        <v>#N/A</v>
      </c>
      <c r="G383" s="37" t="e">
        <f t="shared" si="12"/>
        <v>#N/A</v>
      </c>
      <c r="H383" s="24">
        <v>6</v>
      </c>
    </row>
    <row r="384" spans="1:8" hidden="1">
      <c r="A384" s="32"/>
      <c r="B384" s="32"/>
      <c r="C384" s="33" t="e">
        <f t="shared" si="11"/>
        <v>#N/A</v>
      </c>
      <c r="D384" s="19">
        <v>202500120</v>
      </c>
      <c r="E384">
        <v>38</v>
      </c>
      <c r="F384" t="e">
        <f>Tabela1[[#This Row],[Total de jovens na turma ]]*3</f>
        <v>#N/A</v>
      </c>
      <c r="G384" s="37" t="e">
        <f t="shared" si="12"/>
        <v>#N/A</v>
      </c>
      <c r="H384" s="24">
        <v>6</v>
      </c>
    </row>
    <row r="385" spans="1:8" hidden="1">
      <c r="A385" s="32"/>
      <c r="B385" s="32"/>
      <c r="C385" s="33" t="e">
        <f t="shared" si="11"/>
        <v>#N/A</v>
      </c>
      <c r="D385" s="18">
        <v>202500120</v>
      </c>
      <c r="E385">
        <v>38</v>
      </c>
      <c r="F385" t="e">
        <f>Tabela1[[#This Row],[Total de jovens na turma ]]*3</f>
        <v>#N/A</v>
      </c>
      <c r="G385" s="37" t="e">
        <f t="shared" si="12"/>
        <v>#N/A</v>
      </c>
      <c r="H385" s="24">
        <v>6</v>
      </c>
    </row>
    <row r="386" spans="1:8" hidden="1">
      <c r="A386" s="32"/>
      <c r="B386" s="32"/>
      <c r="C386" s="33" t="e">
        <f t="shared" si="11"/>
        <v>#N/A</v>
      </c>
      <c r="D386" s="19">
        <v>202500120</v>
      </c>
      <c r="E386">
        <v>38</v>
      </c>
      <c r="F386" t="e">
        <f>Tabela1[[#This Row],[Total de jovens na turma ]]*3</f>
        <v>#N/A</v>
      </c>
      <c r="G386" s="37" t="e">
        <f t="shared" si="12"/>
        <v>#N/A</v>
      </c>
      <c r="H386" s="24">
        <v>6</v>
      </c>
    </row>
    <row r="387" spans="1:8" hidden="1">
      <c r="A387" s="32"/>
      <c r="B387" s="32"/>
      <c r="C387" s="33" t="e">
        <f t="shared" si="11"/>
        <v>#N/A</v>
      </c>
      <c r="D387" s="18">
        <v>202500120</v>
      </c>
      <c r="E387">
        <v>38</v>
      </c>
      <c r="F387" t="e">
        <f>Tabela1[[#This Row],[Total de jovens na turma ]]*3</f>
        <v>#N/A</v>
      </c>
      <c r="G387" s="37" t="e">
        <f t="shared" si="12"/>
        <v>#N/A</v>
      </c>
      <c r="H387" s="24">
        <v>6</v>
      </c>
    </row>
    <row r="388" spans="1:8" hidden="1">
      <c r="A388" s="32"/>
      <c r="B388" s="32"/>
      <c r="C388" s="33" t="e">
        <f t="shared" si="11"/>
        <v>#N/A</v>
      </c>
      <c r="D388" s="19">
        <v>202500120</v>
      </c>
      <c r="E388">
        <v>38</v>
      </c>
      <c r="F388" t="e">
        <f>Tabela1[[#This Row],[Total de jovens na turma ]]*3</f>
        <v>#N/A</v>
      </c>
      <c r="G388" s="37" t="e">
        <f t="shared" si="12"/>
        <v>#N/A</v>
      </c>
      <c r="H388" s="24">
        <v>6</v>
      </c>
    </row>
    <row r="389" spans="1:8" hidden="1">
      <c r="A389" s="32"/>
      <c r="B389" s="32"/>
      <c r="C389" s="33" t="e">
        <f t="shared" ref="C389:C452" si="13">VLOOKUP(A389,D:E,2,0)</f>
        <v>#N/A</v>
      </c>
      <c r="D389" s="18">
        <v>202500120</v>
      </c>
      <c r="E389">
        <v>38</v>
      </c>
      <c r="F389" t="e">
        <f>Tabela1[[#This Row],[Total de jovens na turma ]]*3</f>
        <v>#N/A</v>
      </c>
      <c r="G389" s="37" t="e">
        <f t="shared" si="12"/>
        <v>#N/A</v>
      </c>
      <c r="H389" s="24">
        <v>6</v>
      </c>
    </row>
    <row r="390" spans="1:8" hidden="1">
      <c r="A390" s="32"/>
      <c r="B390" s="32"/>
      <c r="C390" s="33" t="e">
        <f t="shared" si="13"/>
        <v>#N/A</v>
      </c>
      <c r="D390" s="19">
        <v>202500120</v>
      </c>
      <c r="E390">
        <v>38</v>
      </c>
      <c r="F390" t="e">
        <f>Tabela1[[#This Row],[Total de jovens na turma ]]*3</f>
        <v>#N/A</v>
      </c>
      <c r="G390" s="37" t="e">
        <f t="shared" si="12"/>
        <v>#N/A</v>
      </c>
      <c r="H390" s="24">
        <v>6</v>
      </c>
    </row>
    <row r="391" spans="1:8" hidden="1">
      <c r="A391" s="32"/>
      <c r="B391" s="32"/>
      <c r="C391" s="33" t="e">
        <f t="shared" si="13"/>
        <v>#N/A</v>
      </c>
      <c r="D391" s="18">
        <v>202500120</v>
      </c>
      <c r="E391">
        <v>38</v>
      </c>
      <c r="F391" t="e">
        <f>Tabela1[[#This Row],[Total de jovens na turma ]]*3</f>
        <v>#N/A</v>
      </c>
      <c r="G391" s="37" t="e">
        <f t="shared" ref="G391:G454" si="14">F391/24</f>
        <v>#N/A</v>
      </c>
      <c r="H391" s="24">
        <v>6</v>
      </c>
    </row>
    <row r="392" spans="1:8" hidden="1">
      <c r="A392" s="32"/>
      <c r="B392" s="32"/>
      <c r="C392" s="33" t="e">
        <f t="shared" si="13"/>
        <v>#N/A</v>
      </c>
      <c r="D392" s="19">
        <v>202500120</v>
      </c>
      <c r="E392">
        <v>38</v>
      </c>
      <c r="F392" t="e">
        <f>Tabela1[[#This Row],[Total de jovens na turma ]]*3</f>
        <v>#N/A</v>
      </c>
      <c r="G392" s="37" t="e">
        <f t="shared" si="14"/>
        <v>#N/A</v>
      </c>
      <c r="H392" s="24">
        <v>6</v>
      </c>
    </row>
    <row r="393" spans="1:8" hidden="1">
      <c r="A393" s="32"/>
      <c r="B393" s="32"/>
      <c r="C393" s="33" t="e">
        <f t="shared" si="13"/>
        <v>#N/A</v>
      </c>
      <c r="D393" s="18">
        <v>202500120</v>
      </c>
      <c r="E393">
        <v>38</v>
      </c>
      <c r="F393" t="e">
        <f>Tabela1[[#This Row],[Total de jovens na turma ]]*3</f>
        <v>#N/A</v>
      </c>
      <c r="G393" s="37" t="e">
        <f t="shared" si="14"/>
        <v>#N/A</v>
      </c>
      <c r="H393" s="24">
        <v>6</v>
      </c>
    </row>
    <row r="394" spans="1:8" hidden="1">
      <c r="A394" s="32"/>
      <c r="B394" s="32"/>
      <c r="C394" s="33" t="e">
        <f t="shared" si="13"/>
        <v>#N/A</v>
      </c>
      <c r="D394" s="19">
        <v>202500120</v>
      </c>
      <c r="E394">
        <v>38</v>
      </c>
      <c r="F394" t="e">
        <f>Tabela1[[#This Row],[Total de jovens na turma ]]*3</f>
        <v>#N/A</v>
      </c>
      <c r="G394" s="37" t="e">
        <f t="shared" si="14"/>
        <v>#N/A</v>
      </c>
      <c r="H394" s="24">
        <v>6</v>
      </c>
    </row>
    <row r="395" spans="1:8" hidden="1">
      <c r="A395" s="32"/>
      <c r="B395" s="32"/>
      <c r="C395" s="33" t="e">
        <f t="shared" si="13"/>
        <v>#N/A</v>
      </c>
      <c r="D395" s="18">
        <v>202500120</v>
      </c>
      <c r="E395">
        <v>38</v>
      </c>
      <c r="F395" t="e">
        <f>Tabela1[[#This Row],[Total de jovens na turma ]]*3</f>
        <v>#N/A</v>
      </c>
      <c r="G395" s="37" t="e">
        <f t="shared" si="14"/>
        <v>#N/A</v>
      </c>
      <c r="H395" s="24">
        <v>6</v>
      </c>
    </row>
    <row r="396" spans="1:8" hidden="1">
      <c r="A396" s="32"/>
      <c r="B396" s="32"/>
      <c r="C396" s="33" t="e">
        <f t="shared" si="13"/>
        <v>#N/A</v>
      </c>
      <c r="D396" s="19">
        <v>202500120</v>
      </c>
      <c r="E396">
        <v>38</v>
      </c>
      <c r="F396" t="e">
        <f>Tabela1[[#This Row],[Total de jovens na turma ]]*3</f>
        <v>#N/A</v>
      </c>
      <c r="G396" s="37" t="e">
        <f t="shared" si="14"/>
        <v>#N/A</v>
      </c>
      <c r="H396" s="24">
        <v>6</v>
      </c>
    </row>
    <row r="397" spans="1:8" hidden="1">
      <c r="A397" s="32"/>
      <c r="B397" s="32"/>
      <c r="C397" s="33" t="e">
        <f t="shared" si="13"/>
        <v>#N/A</v>
      </c>
      <c r="D397" s="18">
        <v>202500120</v>
      </c>
      <c r="E397">
        <v>38</v>
      </c>
      <c r="F397" t="e">
        <f>Tabela1[[#This Row],[Total de jovens na turma ]]*3</f>
        <v>#N/A</v>
      </c>
      <c r="G397" s="37" t="e">
        <f t="shared" si="14"/>
        <v>#N/A</v>
      </c>
      <c r="H397" s="24">
        <v>6</v>
      </c>
    </row>
    <row r="398" spans="1:8" hidden="1">
      <c r="A398" s="32"/>
      <c r="B398" s="32"/>
      <c r="C398" s="33" t="e">
        <f t="shared" si="13"/>
        <v>#N/A</v>
      </c>
      <c r="D398" s="19">
        <v>202500120</v>
      </c>
      <c r="E398">
        <v>38</v>
      </c>
      <c r="F398" t="e">
        <f>Tabela1[[#This Row],[Total de jovens na turma ]]*3</f>
        <v>#N/A</v>
      </c>
      <c r="G398" s="37" t="e">
        <f t="shared" si="14"/>
        <v>#N/A</v>
      </c>
      <c r="H398" s="24">
        <v>6</v>
      </c>
    </row>
    <row r="399" spans="1:8" hidden="1">
      <c r="A399" s="32"/>
      <c r="B399" s="32"/>
      <c r="C399" s="33" t="e">
        <f t="shared" si="13"/>
        <v>#N/A</v>
      </c>
      <c r="D399" s="18">
        <v>202500120</v>
      </c>
      <c r="E399">
        <v>38</v>
      </c>
      <c r="F399" t="e">
        <f>Tabela1[[#This Row],[Total de jovens na turma ]]*3</f>
        <v>#N/A</v>
      </c>
      <c r="G399" s="37" t="e">
        <f t="shared" si="14"/>
        <v>#N/A</v>
      </c>
      <c r="H399" s="24">
        <v>6</v>
      </c>
    </row>
    <row r="400" spans="1:8" hidden="1">
      <c r="A400" s="32"/>
      <c r="B400" s="32"/>
      <c r="C400" s="33" t="e">
        <f t="shared" si="13"/>
        <v>#N/A</v>
      </c>
      <c r="D400" s="19">
        <v>202500120</v>
      </c>
      <c r="E400">
        <v>38</v>
      </c>
      <c r="F400" t="e">
        <f>Tabela1[[#This Row],[Total de jovens na turma ]]*3</f>
        <v>#N/A</v>
      </c>
      <c r="G400" s="37" t="e">
        <f t="shared" si="14"/>
        <v>#N/A</v>
      </c>
      <c r="H400" s="24">
        <v>6</v>
      </c>
    </row>
    <row r="401" spans="1:8" hidden="1">
      <c r="A401" s="32"/>
      <c r="B401" s="32"/>
      <c r="C401" s="33" t="e">
        <f t="shared" si="13"/>
        <v>#N/A</v>
      </c>
      <c r="D401" s="18">
        <v>202500120</v>
      </c>
      <c r="E401">
        <v>38</v>
      </c>
      <c r="F401" t="e">
        <f>Tabela1[[#This Row],[Total de jovens na turma ]]*3</f>
        <v>#N/A</v>
      </c>
      <c r="G401" s="37" t="e">
        <f t="shared" si="14"/>
        <v>#N/A</v>
      </c>
      <c r="H401" s="24">
        <v>6</v>
      </c>
    </row>
    <row r="402" spans="1:8" hidden="1">
      <c r="A402" s="32"/>
      <c r="B402" s="32"/>
      <c r="C402" s="33" t="e">
        <f t="shared" si="13"/>
        <v>#N/A</v>
      </c>
      <c r="D402" s="19">
        <v>202500120</v>
      </c>
      <c r="E402">
        <v>38</v>
      </c>
      <c r="F402" t="e">
        <f>Tabela1[[#This Row],[Total de jovens na turma ]]*3</f>
        <v>#N/A</v>
      </c>
      <c r="G402" s="37" t="e">
        <f t="shared" si="14"/>
        <v>#N/A</v>
      </c>
      <c r="H402" s="24">
        <v>6</v>
      </c>
    </row>
    <row r="403" spans="1:8" hidden="1">
      <c r="A403" s="32"/>
      <c r="B403" s="32"/>
      <c r="C403" s="33" t="e">
        <f t="shared" si="13"/>
        <v>#N/A</v>
      </c>
      <c r="D403" s="18">
        <v>202500120</v>
      </c>
      <c r="E403">
        <v>38</v>
      </c>
      <c r="F403" t="e">
        <f>Tabela1[[#This Row],[Total de jovens na turma ]]*3</f>
        <v>#N/A</v>
      </c>
      <c r="G403" s="37" t="e">
        <f t="shared" si="14"/>
        <v>#N/A</v>
      </c>
      <c r="H403" s="24">
        <v>6</v>
      </c>
    </row>
    <row r="404" spans="1:8" hidden="1">
      <c r="A404" s="32"/>
      <c r="B404" s="32"/>
      <c r="C404" s="33" t="e">
        <f t="shared" si="13"/>
        <v>#N/A</v>
      </c>
      <c r="D404" s="19">
        <v>202500120</v>
      </c>
      <c r="E404">
        <v>38</v>
      </c>
      <c r="F404" t="e">
        <f>Tabela1[[#This Row],[Total de jovens na turma ]]*3</f>
        <v>#N/A</v>
      </c>
      <c r="G404" s="37" t="e">
        <f t="shared" si="14"/>
        <v>#N/A</v>
      </c>
      <c r="H404" s="24">
        <v>6</v>
      </c>
    </row>
    <row r="405" spans="1:8" hidden="1">
      <c r="A405" s="32"/>
      <c r="B405" s="32"/>
      <c r="C405" s="33" t="e">
        <f t="shared" si="13"/>
        <v>#N/A</v>
      </c>
      <c r="D405" s="18">
        <v>202500120</v>
      </c>
      <c r="E405">
        <v>38</v>
      </c>
      <c r="F405" t="e">
        <f>Tabela1[[#This Row],[Total de jovens na turma ]]*3</f>
        <v>#N/A</v>
      </c>
      <c r="G405" s="37" t="e">
        <f t="shared" si="14"/>
        <v>#N/A</v>
      </c>
      <c r="H405" s="24">
        <v>6</v>
      </c>
    </row>
    <row r="406" spans="1:8" hidden="1">
      <c r="A406" s="32"/>
      <c r="B406" s="32"/>
      <c r="C406" s="33" t="e">
        <f t="shared" si="13"/>
        <v>#N/A</v>
      </c>
      <c r="D406" s="19">
        <v>202500120</v>
      </c>
      <c r="E406">
        <v>38</v>
      </c>
      <c r="F406" t="e">
        <f>Tabela1[[#This Row],[Total de jovens na turma ]]*3</f>
        <v>#N/A</v>
      </c>
      <c r="G406" s="37" t="e">
        <f t="shared" si="14"/>
        <v>#N/A</v>
      </c>
      <c r="H406" s="24">
        <v>6</v>
      </c>
    </row>
    <row r="407" spans="1:8" hidden="1">
      <c r="A407" s="32"/>
      <c r="B407" s="32"/>
      <c r="C407" s="33" t="e">
        <f t="shared" si="13"/>
        <v>#N/A</v>
      </c>
      <c r="D407" s="18">
        <v>202500120</v>
      </c>
      <c r="E407">
        <v>38</v>
      </c>
      <c r="F407" t="e">
        <f>Tabela1[[#This Row],[Total de jovens na turma ]]*3</f>
        <v>#N/A</v>
      </c>
      <c r="G407" s="37" t="e">
        <f t="shared" si="14"/>
        <v>#N/A</v>
      </c>
      <c r="H407" s="24">
        <v>6</v>
      </c>
    </row>
    <row r="408" spans="1:8" hidden="1">
      <c r="A408" s="32"/>
      <c r="B408" s="32"/>
      <c r="C408" s="33" t="e">
        <f t="shared" si="13"/>
        <v>#N/A</v>
      </c>
      <c r="D408" s="19">
        <v>202500120</v>
      </c>
      <c r="E408">
        <v>38</v>
      </c>
      <c r="F408" t="e">
        <f>Tabela1[[#This Row],[Total de jovens na turma ]]*3</f>
        <v>#N/A</v>
      </c>
      <c r="G408" s="37" t="e">
        <f t="shared" si="14"/>
        <v>#N/A</v>
      </c>
      <c r="H408" s="24">
        <v>6</v>
      </c>
    </row>
    <row r="409" spans="1:8" hidden="1">
      <c r="A409" s="32"/>
      <c r="B409" s="32"/>
      <c r="C409" s="33" t="e">
        <f t="shared" si="13"/>
        <v>#N/A</v>
      </c>
      <c r="D409" s="18">
        <v>202500120</v>
      </c>
      <c r="E409">
        <v>38</v>
      </c>
      <c r="F409" t="e">
        <f>Tabela1[[#This Row],[Total de jovens na turma ]]*3</f>
        <v>#N/A</v>
      </c>
      <c r="G409" s="37" t="e">
        <f t="shared" si="14"/>
        <v>#N/A</v>
      </c>
      <c r="H409" s="24">
        <v>6</v>
      </c>
    </row>
    <row r="410" spans="1:8" hidden="1">
      <c r="A410" s="32"/>
      <c r="B410" s="32"/>
      <c r="C410" s="33" t="e">
        <f t="shared" si="13"/>
        <v>#N/A</v>
      </c>
      <c r="D410" s="19">
        <v>202500120</v>
      </c>
      <c r="E410">
        <v>38</v>
      </c>
      <c r="F410" t="e">
        <f>Tabela1[[#This Row],[Total de jovens na turma ]]*3</f>
        <v>#N/A</v>
      </c>
      <c r="G410" s="37" t="e">
        <f t="shared" si="14"/>
        <v>#N/A</v>
      </c>
      <c r="H410" s="24">
        <v>6</v>
      </c>
    </row>
    <row r="411" spans="1:8" hidden="1">
      <c r="A411" s="32"/>
      <c r="B411" s="32"/>
      <c r="C411" s="33" t="e">
        <f t="shared" si="13"/>
        <v>#N/A</v>
      </c>
      <c r="D411" s="18">
        <v>202500120</v>
      </c>
      <c r="E411">
        <v>38</v>
      </c>
      <c r="F411" t="e">
        <f>Tabela1[[#This Row],[Total de jovens na turma ]]*3</f>
        <v>#N/A</v>
      </c>
      <c r="G411" s="37" t="e">
        <f t="shared" si="14"/>
        <v>#N/A</v>
      </c>
      <c r="H411" s="24">
        <v>6</v>
      </c>
    </row>
    <row r="412" spans="1:8" hidden="1">
      <c r="A412" s="32"/>
      <c r="B412" s="32"/>
      <c r="C412" s="33" t="e">
        <f t="shared" si="13"/>
        <v>#N/A</v>
      </c>
      <c r="D412" s="19">
        <v>202500120</v>
      </c>
      <c r="E412">
        <v>38</v>
      </c>
      <c r="F412" t="e">
        <f>Tabela1[[#This Row],[Total de jovens na turma ]]*3</f>
        <v>#N/A</v>
      </c>
      <c r="G412" s="37" t="e">
        <f t="shared" si="14"/>
        <v>#N/A</v>
      </c>
      <c r="H412" s="24">
        <v>6</v>
      </c>
    </row>
    <row r="413" spans="1:8" hidden="1">
      <c r="A413" s="32"/>
      <c r="B413" s="32"/>
      <c r="C413" s="33" t="e">
        <f t="shared" si="13"/>
        <v>#N/A</v>
      </c>
      <c r="D413" s="18">
        <v>202500120</v>
      </c>
      <c r="E413">
        <v>38</v>
      </c>
      <c r="F413" t="e">
        <f>Tabela1[[#This Row],[Total de jovens na turma ]]*3</f>
        <v>#N/A</v>
      </c>
      <c r="G413" s="37" t="e">
        <f t="shared" si="14"/>
        <v>#N/A</v>
      </c>
      <c r="H413" s="24">
        <v>6</v>
      </c>
    </row>
    <row r="414" spans="1:8" hidden="1">
      <c r="A414" s="32"/>
      <c r="B414" s="32"/>
      <c r="C414" s="33" t="e">
        <f t="shared" si="13"/>
        <v>#N/A</v>
      </c>
      <c r="D414" s="19">
        <v>202500120</v>
      </c>
      <c r="E414">
        <v>38</v>
      </c>
      <c r="F414" t="e">
        <f>Tabela1[[#This Row],[Total de jovens na turma ]]*3</f>
        <v>#N/A</v>
      </c>
      <c r="G414" s="37" t="e">
        <f t="shared" si="14"/>
        <v>#N/A</v>
      </c>
      <c r="H414" s="24">
        <v>6</v>
      </c>
    </row>
    <row r="415" spans="1:8" hidden="1">
      <c r="A415" s="32"/>
      <c r="B415" s="32"/>
      <c r="C415" s="33" t="e">
        <f t="shared" si="13"/>
        <v>#N/A</v>
      </c>
      <c r="D415" s="18">
        <v>202500120</v>
      </c>
      <c r="E415">
        <v>38</v>
      </c>
      <c r="F415" t="e">
        <f>Tabela1[[#This Row],[Total de jovens na turma ]]*3</f>
        <v>#N/A</v>
      </c>
      <c r="G415" s="37" t="e">
        <f t="shared" si="14"/>
        <v>#N/A</v>
      </c>
      <c r="H415" s="24">
        <v>6</v>
      </c>
    </row>
    <row r="416" spans="1:8" hidden="1">
      <c r="A416" s="32"/>
      <c r="B416" s="32"/>
      <c r="C416" s="33" t="e">
        <f t="shared" si="13"/>
        <v>#N/A</v>
      </c>
      <c r="D416" s="19">
        <v>202500120</v>
      </c>
      <c r="E416">
        <v>38</v>
      </c>
      <c r="F416" t="e">
        <f>Tabela1[[#This Row],[Total de jovens na turma ]]*3</f>
        <v>#N/A</v>
      </c>
      <c r="G416" s="37" t="e">
        <f t="shared" si="14"/>
        <v>#N/A</v>
      </c>
      <c r="H416" s="24">
        <v>6</v>
      </c>
    </row>
    <row r="417" spans="1:8" hidden="1">
      <c r="A417" s="32"/>
      <c r="B417" s="32"/>
      <c r="C417" s="33" t="e">
        <f t="shared" si="13"/>
        <v>#N/A</v>
      </c>
      <c r="D417" s="18">
        <v>202500120</v>
      </c>
      <c r="E417">
        <v>38</v>
      </c>
      <c r="F417" t="e">
        <f>Tabela1[[#This Row],[Total de jovens na turma ]]*3</f>
        <v>#N/A</v>
      </c>
      <c r="G417" s="37" t="e">
        <f t="shared" si="14"/>
        <v>#N/A</v>
      </c>
      <c r="H417" s="24">
        <v>6</v>
      </c>
    </row>
    <row r="418" spans="1:8" hidden="1">
      <c r="A418" s="32"/>
      <c r="B418" s="32"/>
      <c r="C418" s="33" t="e">
        <f t="shared" si="13"/>
        <v>#N/A</v>
      </c>
      <c r="D418" s="19">
        <v>202500120</v>
      </c>
      <c r="E418">
        <v>38</v>
      </c>
      <c r="F418" t="e">
        <f>Tabela1[[#This Row],[Total de jovens na turma ]]*3</f>
        <v>#N/A</v>
      </c>
      <c r="G418" s="37" t="e">
        <f t="shared" si="14"/>
        <v>#N/A</v>
      </c>
      <c r="H418" s="24">
        <v>6</v>
      </c>
    </row>
    <row r="419" spans="1:8" hidden="1">
      <c r="A419" s="32"/>
      <c r="B419" s="32"/>
      <c r="C419" s="33" t="e">
        <f t="shared" si="13"/>
        <v>#N/A</v>
      </c>
      <c r="D419" s="18">
        <v>202500121</v>
      </c>
      <c r="E419">
        <v>26</v>
      </c>
      <c r="F419" t="e">
        <f>Tabela1[[#This Row],[Total de jovens na turma ]]*3</f>
        <v>#N/A</v>
      </c>
      <c r="G419" s="37" t="e">
        <f t="shared" si="14"/>
        <v>#N/A</v>
      </c>
      <c r="H419" s="24">
        <v>6</v>
      </c>
    </row>
    <row r="420" spans="1:8" hidden="1">
      <c r="A420" s="32"/>
      <c r="B420" s="32"/>
      <c r="C420" s="33" t="e">
        <f t="shared" si="13"/>
        <v>#N/A</v>
      </c>
      <c r="D420" s="19">
        <v>202500121</v>
      </c>
      <c r="E420">
        <v>26</v>
      </c>
      <c r="F420" t="e">
        <f>Tabela1[[#This Row],[Total de jovens na turma ]]*3</f>
        <v>#N/A</v>
      </c>
      <c r="G420" s="37" t="e">
        <f t="shared" si="14"/>
        <v>#N/A</v>
      </c>
      <c r="H420" s="24">
        <v>6</v>
      </c>
    </row>
    <row r="421" spans="1:8" hidden="1">
      <c r="A421" s="32"/>
      <c r="B421" s="32"/>
      <c r="C421" s="33" t="e">
        <f t="shared" si="13"/>
        <v>#N/A</v>
      </c>
      <c r="D421" s="18">
        <v>202500121</v>
      </c>
      <c r="E421">
        <v>26</v>
      </c>
      <c r="F421" t="e">
        <f>Tabela1[[#This Row],[Total de jovens na turma ]]*3</f>
        <v>#N/A</v>
      </c>
      <c r="G421" s="37" t="e">
        <f t="shared" si="14"/>
        <v>#N/A</v>
      </c>
      <c r="H421" s="24">
        <v>6</v>
      </c>
    </row>
    <row r="422" spans="1:8" hidden="1">
      <c r="A422" s="32"/>
      <c r="B422" s="32"/>
      <c r="C422" s="33" t="e">
        <f t="shared" si="13"/>
        <v>#N/A</v>
      </c>
      <c r="D422" s="19">
        <v>202500121</v>
      </c>
      <c r="E422">
        <v>26</v>
      </c>
      <c r="F422" t="e">
        <f>Tabela1[[#This Row],[Total de jovens na turma ]]*3</f>
        <v>#N/A</v>
      </c>
      <c r="G422" s="37" t="e">
        <f t="shared" si="14"/>
        <v>#N/A</v>
      </c>
      <c r="H422" s="24">
        <v>6</v>
      </c>
    </row>
    <row r="423" spans="1:8" hidden="1">
      <c r="A423" s="32"/>
      <c r="B423" s="32"/>
      <c r="C423" s="33" t="e">
        <f t="shared" si="13"/>
        <v>#N/A</v>
      </c>
      <c r="D423" s="18">
        <v>202500121</v>
      </c>
      <c r="E423">
        <v>26</v>
      </c>
      <c r="F423" t="e">
        <f>Tabela1[[#This Row],[Total de jovens na turma ]]*3</f>
        <v>#N/A</v>
      </c>
      <c r="G423" s="37" t="e">
        <f t="shared" si="14"/>
        <v>#N/A</v>
      </c>
      <c r="H423" s="24">
        <v>6</v>
      </c>
    </row>
    <row r="424" spans="1:8" hidden="1">
      <c r="A424" s="32"/>
      <c r="B424" s="32"/>
      <c r="C424" s="33" t="e">
        <f t="shared" si="13"/>
        <v>#N/A</v>
      </c>
      <c r="D424" s="19">
        <v>202500121</v>
      </c>
      <c r="E424">
        <v>26</v>
      </c>
      <c r="F424" t="e">
        <f>Tabela1[[#This Row],[Total de jovens na turma ]]*3</f>
        <v>#N/A</v>
      </c>
      <c r="G424" s="37" t="e">
        <f t="shared" si="14"/>
        <v>#N/A</v>
      </c>
      <c r="H424" s="24">
        <v>6</v>
      </c>
    </row>
    <row r="425" spans="1:8" hidden="1">
      <c r="A425" s="32"/>
      <c r="B425" s="32"/>
      <c r="C425" s="33" t="e">
        <f t="shared" si="13"/>
        <v>#N/A</v>
      </c>
      <c r="D425" s="18">
        <v>202500121</v>
      </c>
      <c r="E425">
        <v>26</v>
      </c>
      <c r="F425" t="e">
        <f>Tabela1[[#This Row],[Total de jovens na turma ]]*3</f>
        <v>#N/A</v>
      </c>
      <c r="G425" s="37" t="e">
        <f t="shared" si="14"/>
        <v>#N/A</v>
      </c>
      <c r="H425" s="24">
        <v>6</v>
      </c>
    </row>
    <row r="426" spans="1:8" hidden="1">
      <c r="A426" s="32"/>
      <c r="B426" s="32"/>
      <c r="C426" s="33" t="e">
        <f t="shared" si="13"/>
        <v>#N/A</v>
      </c>
      <c r="D426" s="19">
        <v>202500121</v>
      </c>
      <c r="E426">
        <v>26</v>
      </c>
      <c r="F426" t="e">
        <f>Tabela1[[#This Row],[Total de jovens na turma ]]*3</f>
        <v>#N/A</v>
      </c>
      <c r="G426" s="37" t="e">
        <f t="shared" si="14"/>
        <v>#N/A</v>
      </c>
      <c r="H426" s="24">
        <v>6</v>
      </c>
    </row>
    <row r="427" spans="1:8" hidden="1">
      <c r="A427" s="32"/>
      <c r="B427" s="32"/>
      <c r="C427" s="33" t="e">
        <f t="shared" si="13"/>
        <v>#N/A</v>
      </c>
      <c r="D427" s="18">
        <v>202500121</v>
      </c>
      <c r="E427">
        <v>26</v>
      </c>
      <c r="F427" t="e">
        <f>Tabela1[[#This Row],[Total de jovens na turma ]]*3</f>
        <v>#N/A</v>
      </c>
      <c r="G427" s="37" t="e">
        <f t="shared" si="14"/>
        <v>#N/A</v>
      </c>
      <c r="H427" s="24">
        <v>6</v>
      </c>
    </row>
    <row r="428" spans="1:8" hidden="1">
      <c r="A428" s="32"/>
      <c r="B428" s="32"/>
      <c r="C428" s="33" t="e">
        <f t="shared" si="13"/>
        <v>#N/A</v>
      </c>
      <c r="D428" s="19">
        <v>202500121</v>
      </c>
      <c r="E428">
        <v>26</v>
      </c>
      <c r="F428" t="e">
        <f>Tabela1[[#This Row],[Total de jovens na turma ]]*3</f>
        <v>#N/A</v>
      </c>
      <c r="G428" s="37" t="e">
        <f t="shared" si="14"/>
        <v>#N/A</v>
      </c>
      <c r="H428" s="24">
        <v>6</v>
      </c>
    </row>
    <row r="429" spans="1:8" hidden="1">
      <c r="A429" s="32"/>
      <c r="B429" s="32"/>
      <c r="C429" s="33" t="e">
        <f t="shared" si="13"/>
        <v>#N/A</v>
      </c>
      <c r="D429" s="18">
        <v>202500121</v>
      </c>
      <c r="E429">
        <v>26</v>
      </c>
      <c r="F429" t="e">
        <f>Tabela1[[#This Row],[Total de jovens na turma ]]*3</f>
        <v>#N/A</v>
      </c>
      <c r="G429" s="37" t="e">
        <f t="shared" si="14"/>
        <v>#N/A</v>
      </c>
      <c r="H429" s="24">
        <v>6</v>
      </c>
    </row>
    <row r="430" spans="1:8" hidden="1">
      <c r="A430" s="32"/>
      <c r="B430" s="32"/>
      <c r="C430" s="33" t="e">
        <f t="shared" si="13"/>
        <v>#N/A</v>
      </c>
      <c r="D430" s="19">
        <v>202500121</v>
      </c>
      <c r="E430">
        <v>26</v>
      </c>
      <c r="F430" t="e">
        <f>Tabela1[[#This Row],[Total de jovens na turma ]]*3</f>
        <v>#N/A</v>
      </c>
      <c r="G430" s="37" t="e">
        <f t="shared" si="14"/>
        <v>#N/A</v>
      </c>
      <c r="H430" s="24">
        <v>6</v>
      </c>
    </row>
    <row r="431" spans="1:8" hidden="1">
      <c r="A431" s="32"/>
      <c r="B431" s="32"/>
      <c r="C431" s="33" t="e">
        <f t="shared" si="13"/>
        <v>#N/A</v>
      </c>
      <c r="D431" s="18">
        <v>202500121</v>
      </c>
      <c r="E431">
        <v>26</v>
      </c>
      <c r="F431" t="e">
        <f>Tabela1[[#This Row],[Total de jovens na turma ]]*3</f>
        <v>#N/A</v>
      </c>
      <c r="G431" s="37" t="e">
        <f t="shared" si="14"/>
        <v>#N/A</v>
      </c>
      <c r="H431" s="24">
        <v>6</v>
      </c>
    </row>
    <row r="432" spans="1:8" hidden="1">
      <c r="A432" s="32"/>
      <c r="B432" s="32"/>
      <c r="C432" s="33" t="e">
        <f t="shared" si="13"/>
        <v>#N/A</v>
      </c>
      <c r="D432" s="19">
        <v>202500121</v>
      </c>
      <c r="E432">
        <v>26</v>
      </c>
      <c r="F432" t="e">
        <f>Tabela1[[#This Row],[Total de jovens na turma ]]*3</f>
        <v>#N/A</v>
      </c>
      <c r="G432" s="37" t="e">
        <f t="shared" si="14"/>
        <v>#N/A</v>
      </c>
      <c r="H432" s="24">
        <v>6</v>
      </c>
    </row>
    <row r="433" spans="1:8" hidden="1">
      <c r="A433" s="32"/>
      <c r="B433" s="32"/>
      <c r="C433" s="33" t="e">
        <f t="shared" si="13"/>
        <v>#N/A</v>
      </c>
      <c r="D433" s="18">
        <v>202500121</v>
      </c>
      <c r="E433">
        <v>26</v>
      </c>
      <c r="F433" t="e">
        <f>Tabela1[[#This Row],[Total de jovens na turma ]]*3</f>
        <v>#N/A</v>
      </c>
      <c r="G433" s="37" t="e">
        <f t="shared" si="14"/>
        <v>#N/A</v>
      </c>
      <c r="H433" s="24">
        <v>6</v>
      </c>
    </row>
    <row r="434" spans="1:8" hidden="1">
      <c r="A434" s="32"/>
      <c r="B434" s="32"/>
      <c r="C434" s="33" t="e">
        <f t="shared" si="13"/>
        <v>#N/A</v>
      </c>
      <c r="D434" s="19">
        <v>202500121</v>
      </c>
      <c r="E434">
        <v>26</v>
      </c>
      <c r="F434" t="e">
        <f>Tabela1[[#This Row],[Total de jovens na turma ]]*3</f>
        <v>#N/A</v>
      </c>
      <c r="G434" s="37" t="e">
        <f t="shared" si="14"/>
        <v>#N/A</v>
      </c>
      <c r="H434" s="24">
        <v>6</v>
      </c>
    </row>
    <row r="435" spans="1:8" hidden="1">
      <c r="A435" s="32"/>
      <c r="B435" s="32"/>
      <c r="C435" s="33" t="e">
        <f t="shared" si="13"/>
        <v>#N/A</v>
      </c>
      <c r="D435" s="18">
        <v>202500121</v>
      </c>
      <c r="E435">
        <v>26</v>
      </c>
      <c r="F435" t="e">
        <f>Tabela1[[#This Row],[Total de jovens na turma ]]*3</f>
        <v>#N/A</v>
      </c>
      <c r="G435" s="37" t="e">
        <f t="shared" si="14"/>
        <v>#N/A</v>
      </c>
      <c r="H435" s="24">
        <v>6</v>
      </c>
    </row>
    <row r="436" spans="1:8" hidden="1">
      <c r="A436" s="32"/>
      <c r="B436" s="32"/>
      <c r="C436" s="33" t="e">
        <f t="shared" si="13"/>
        <v>#N/A</v>
      </c>
      <c r="D436" s="19">
        <v>202500121</v>
      </c>
      <c r="E436">
        <v>26</v>
      </c>
      <c r="F436" t="e">
        <f>Tabela1[[#This Row],[Total de jovens na turma ]]*3</f>
        <v>#N/A</v>
      </c>
      <c r="G436" s="37" t="e">
        <f t="shared" si="14"/>
        <v>#N/A</v>
      </c>
      <c r="H436" s="24">
        <v>6</v>
      </c>
    </row>
    <row r="437" spans="1:8" hidden="1">
      <c r="A437" s="32"/>
      <c r="B437" s="32"/>
      <c r="C437" s="33" t="e">
        <f t="shared" si="13"/>
        <v>#N/A</v>
      </c>
      <c r="D437" s="18">
        <v>202500121</v>
      </c>
      <c r="E437">
        <v>26</v>
      </c>
      <c r="F437" t="e">
        <f>Tabela1[[#This Row],[Total de jovens na turma ]]*3</f>
        <v>#N/A</v>
      </c>
      <c r="G437" s="37" t="e">
        <f t="shared" si="14"/>
        <v>#N/A</v>
      </c>
      <c r="H437" s="24">
        <v>6</v>
      </c>
    </row>
    <row r="438" spans="1:8" hidden="1">
      <c r="A438" s="32"/>
      <c r="B438" s="32"/>
      <c r="C438" s="33" t="e">
        <f t="shared" si="13"/>
        <v>#N/A</v>
      </c>
      <c r="D438" s="19">
        <v>202500121</v>
      </c>
      <c r="E438">
        <v>26</v>
      </c>
      <c r="F438" t="e">
        <f>Tabela1[[#This Row],[Total de jovens na turma ]]*3</f>
        <v>#N/A</v>
      </c>
      <c r="G438" s="37" t="e">
        <f t="shared" si="14"/>
        <v>#N/A</v>
      </c>
      <c r="H438" s="24">
        <v>6</v>
      </c>
    </row>
    <row r="439" spans="1:8" hidden="1">
      <c r="A439" s="32"/>
      <c r="B439" s="32"/>
      <c r="C439" s="33" t="e">
        <f t="shared" si="13"/>
        <v>#N/A</v>
      </c>
      <c r="D439" s="18">
        <v>202500121</v>
      </c>
      <c r="E439">
        <v>26</v>
      </c>
      <c r="F439" t="e">
        <f>Tabela1[[#This Row],[Total de jovens na turma ]]*3</f>
        <v>#N/A</v>
      </c>
      <c r="G439" s="37" t="e">
        <f t="shared" si="14"/>
        <v>#N/A</v>
      </c>
      <c r="H439" s="24">
        <v>6</v>
      </c>
    </row>
    <row r="440" spans="1:8" hidden="1">
      <c r="A440" s="32"/>
      <c r="B440" s="32"/>
      <c r="C440" s="33" t="e">
        <f t="shared" si="13"/>
        <v>#N/A</v>
      </c>
      <c r="D440" s="19">
        <v>202500121</v>
      </c>
      <c r="E440">
        <v>26</v>
      </c>
      <c r="F440" t="e">
        <f>Tabela1[[#This Row],[Total de jovens na turma ]]*3</f>
        <v>#N/A</v>
      </c>
      <c r="G440" s="37" t="e">
        <f t="shared" si="14"/>
        <v>#N/A</v>
      </c>
      <c r="H440" s="24">
        <v>6</v>
      </c>
    </row>
    <row r="441" spans="1:8" hidden="1">
      <c r="A441" s="32"/>
      <c r="B441" s="32"/>
      <c r="C441" s="33" t="e">
        <f t="shared" si="13"/>
        <v>#N/A</v>
      </c>
      <c r="D441" s="18">
        <v>202500121</v>
      </c>
      <c r="E441">
        <v>26</v>
      </c>
      <c r="F441" t="e">
        <f>Tabela1[[#This Row],[Total de jovens na turma ]]*3</f>
        <v>#N/A</v>
      </c>
      <c r="G441" s="37" t="e">
        <f t="shared" si="14"/>
        <v>#N/A</v>
      </c>
      <c r="H441" s="24">
        <v>6</v>
      </c>
    </row>
    <row r="442" spans="1:8" hidden="1">
      <c r="A442" s="32"/>
      <c r="B442" s="32"/>
      <c r="C442" s="33" t="e">
        <f t="shared" si="13"/>
        <v>#N/A</v>
      </c>
      <c r="D442" s="19">
        <v>202500127</v>
      </c>
      <c r="E442">
        <v>43</v>
      </c>
      <c r="F442" t="e">
        <f>Tabela1[[#This Row],[Total de jovens na turma ]]*3</f>
        <v>#N/A</v>
      </c>
      <c r="G442" s="37" t="e">
        <f t="shared" si="14"/>
        <v>#N/A</v>
      </c>
      <c r="H442" s="24">
        <v>6</v>
      </c>
    </row>
    <row r="443" spans="1:8" hidden="1">
      <c r="A443" s="32"/>
      <c r="B443" s="32"/>
      <c r="C443" s="33" t="e">
        <f t="shared" si="13"/>
        <v>#N/A</v>
      </c>
      <c r="D443" s="18">
        <v>202500127</v>
      </c>
      <c r="E443">
        <v>43</v>
      </c>
      <c r="F443" t="e">
        <f>Tabela1[[#This Row],[Total de jovens na turma ]]*3</f>
        <v>#N/A</v>
      </c>
      <c r="G443" s="37" t="e">
        <f t="shared" si="14"/>
        <v>#N/A</v>
      </c>
      <c r="H443" s="24">
        <v>6</v>
      </c>
    </row>
    <row r="444" spans="1:8" hidden="1">
      <c r="A444" s="32"/>
      <c r="B444" s="32"/>
      <c r="C444" s="33" t="e">
        <f t="shared" si="13"/>
        <v>#N/A</v>
      </c>
      <c r="D444" s="19">
        <v>202500127</v>
      </c>
      <c r="E444">
        <v>43</v>
      </c>
      <c r="F444" t="e">
        <f>Tabela1[[#This Row],[Total de jovens na turma ]]*3</f>
        <v>#N/A</v>
      </c>
      <c r="G444" s="37" t="e">
        <f t="shared" si="14"/>
        <v>#N/A</v>
      </c>
      <c r="H444" s="24">
        <v>6</v>
      </c>
    </row>
    <row r="445" spans="1:8" hidden="1">
      <c r="A445" s="32"/>
      <c r="B445" s="32"/>
      <c r="C445" s="33" t="e">
        <f t="shared" si="13"/>
        <v>#N/A</v>
      </c>
      <c r="D445" s="18">
        <v>202500127</v>
      </c>
      <c r="E445">
        <v>43</v>
      </c>
      <c r="F445" t="e">
        <f>Tabela1[[#This Row],[Total de jovens na turma ]]*3</f>
        <v>#N/A</v>
      </c>
      <c r="G445" s="37" t="e">
        <f t="shared" si="14"/>
        <v>#N/A</v>
      </c>
      <c r="H445" s="24">
        <v>6</v>
      </c>
    </row>
    <row r="446" spans="1:8" hidden="1">
      <c r="A446" s="32"/>
      <c r="B446" s="32"/>
      <c r="C446" s="33" t="e">
        <f t="shared" si="13"/>
        <v>#N/A</v>
      </c>
      <c r="D446" s="19">
        <v>202500127</v>
      </c>
      <c r="E446">
        <v>43</v>
      </c>
      <c r="F446" t="e">
        <f>Tabela1[[#This Row],[Total de jovens na turma ]]*3</f>
        <v>#N/A</v>
      </c>
      <c r="G446" s="37" t="e">
        <f t="shared" si="14"/>
        <v>#N/A</v>
      </c>
      <c r="H446" s="24">
        <v>6</v>
      </c>
    </row>
    <row r="447" spans="1:8" hidden="1">
      <c r="A447" s="32"/>
      <c r="B447" s="32"/>
      <c r="C447" s="33" t="e">
        <f t="shared" si="13"/>
        <v>#N/A</v>
      </c>
      <c r="D447" s="18">
        <v>202500127</v>
      </c>
      <c r="E447">
        <v>43</v>
      </c>
      <c r="F447" t="e">
        <f>Tabela1[[#This Row],[Total de jovens na turma ]]*3</f>
        <v>#N/A</v>
      </c>
      <c r="G447" s="37" t="e">
        <f t="shared" si="14"/>
        <v>#N/A</v>
      </c>
      <c r="H447" s="24">
        <v>6</v>
      </c>
    </row>
    <row r="448" spans="1:8" hidden="1">
      <c r="A448" s="32"/>
      <c r="B448" s="32"/>
      <c r="C448" s="33" t="e">
        <f t="shared" si="13"/>
        <v>#N/A</v>
      </c>
      <c r="D448" s="19">
        <v>202500127</v>
      </c>
      <c r="E448">
        <v>43</v>
      </c>
      <c r="F448" t="e">
        <f>Tabela1[[#This Row],[Total de jovens na turma ]]*3</f>
        <v>#N/A</v>
      </c>
      <c r="G448" s="37" t="e">
        <f t="shared" si="14"/>
        <v>#N/A</v>
      </c>
      <c r="H448" s="24">
        <v>6</v>
      </c>
    </row>
    <row r="449" spans="1:8" hidden="1">
      <c r="A449" s="32"/>
      <c r="B449" s="32"/>
      <c r="C449" s="33" t="e">
        <f t="shared" si="13"/>
        <v>#N/A</v>
      </c>
      <c r="D449" s="18">
        <v>202500127</v>
      </c>
      <c r="E449">
        <v>43</v>
      </c>
      <c r="F449" t="e">
        <f>Tabela1[[#This Row],[Total de jovens na turma ]]*3</f>
        <v>#N/A</v>
      </c>
      <c r="G449" s="37" t="e">
        <f t="shared" si="14"/>
        <v>#N/A</v>
      </c>
      <c r="H449" s="24">
        <v>6</v>
      </c>
    </row>
    <row r="450" spans="1:8" hidden="1">
      <c r="A450" s="32"/>
      <c r="B450" s="32"/>
      <c r="C450" s="33" t="e">
        <f t="shared" si="13"/>
        <v>#N/A</v>
      </c>
      <c r="D450" s="19">
        <v>202500127</v>
      </c>
      <c r="E450">
        <v>43</v>
      </c>
      <c r="F450" t="e">
        <f>Tabela1[[#This Row],[Total de jovens na turma ]]*3</f>
        <v>#N/A</v>
      </c>
      <c r="G450" s="37" t="e">
        <f t="shared" si="14"/>
        <v>#N/A</v>
      </c>
      <c r="H450" s="24">
        <v>6</v>
      </c>
    </row>
    <row r="451" spans="1:8" hidden="1">
      <c r="A451" s="32"/>
      <c r="B451" s="32"/>
      <c r="C451" s="33" t="e">
        <f t="shared" si="13"/>
        <v>#N/A</v>
      </c>
      <c r="D451" s="18">
        <v>202500127</v>
      </c>
      <c r="E451">
        <v>43</v>
      </c>
      <c r="F451" t="e">
        <f>Tabela1[[#This Row],[Total de jovens na turma ]]*3</f>
        <v>#N/A</v>
      </c>
      <c r="G451" s="37" t="e">
        <f t="shared" si="14"/>
        <v>#N/A</v>
      </c>
      <c r="H451" s="24">
        <v>6</v>
      </c>
    </row>
    <row r="452" spans="1:8" hidden="1">
      <c r="A452" s="32"/>
      <c r="B452" s="32"/>
      <c r="C452" s="33" t="e">
        <f t="shared" si="13"/>
        <v>#N/A</v>
      </c>
      <c r="D452" s="19">
        <v>202500127</v>
      </c>
      <c r="E452">
        <v>43</v>
      </c>
      <c r="F452" t="e">
        <f>Tabela1[[#This Row],[Total de jovens na turma ]]*3</f>
        <v>#N/A</v>
      </c>
      <c r="G452" s="37" t="e">
        <f t="shared" si="14"/>
        <v>#N/A</v>
      </c>
      <c r="H452" s="24">
        <v>6</v>
      </c>
    </row>
    <row r="453" spans="1:8" hidden="1">
      <c r="A453" s="32"/>
      <c r="B453" s="32"/>
      <c r="C453" s="33" t="e">
        <f t="shared" ref="C453:C516" si="15">VLOOKUP(A453,D:E,2,0)</f>
        <v>#N/A</v>
      </c>
      <c r="D453" s="18">
        <v>202500127</v>
      </c>
      <c r="E453">
        <v>43</v>
      </c>
      <c r="F453" t="e">
        <f>Tabela1[[#This Row],[Total de jovens na turma ]]*3</f>
        <v>#N/A</v>
      </c>
      <c r="G453" s="37" t="e">
        <f t="shared" si="14"/>
        <v>#N/A</v>
      </c>
      <c r="H453" s="24">
        <v>6</v>
      </c>
    </row>
    <row r="454" spans="1:8" hidden="1">
      <c r="A454" s="32"/>
      <c r="B454" s="32"/>
      <c r="C454" s="33" t="e">
        <f t="shared" si="15"/>
        <v>#N/A</v>
      </c>
      <c r="D454" s="19">
        <v>202500127</v>
      </c>
      <c r="E454">
        <v>43</v>
      </c>
      <c r="F454" t="e">
        <f>Tabela1[[#This Row],[Total de jovens na turma ]]*3</f>
        <v>#N/A</v>
      </c>
      <c r="G454" s="37" t="e">
        <f t="shared" si="14"/>
        <v>#N/A</v>
      </c>
      <c r="H454" s="24">
        <v>6</v>
      </c>
    </row>
    <row r="455" spans="1:8" hidden="1">
      <c r="A455" s="32"/>
      <c r="B455" s="32"/>
      <c r="C455" s="33" t="e">
        <f t="shared" si="15"/>
        <v>#N/A</v>
      </c>
      <c r="D455" s="18">
        <v>202500127</v>
      </c>
      <c r="E455">
        <v>43</v>
      </c>
      <c r="F455" t="e">
        <f>Tabela1[[#This Row],[Total de jovens na turma ]]*3</f>
        <v>#N/A</v>
      </c>
      <c r="G455" s="37" t="e">
        <f t="shared" ref="G455:G518" si="16">F455/24</f>
        <v>#N/A</v>
      </c>
      <c r="H455" s="24">
        <v>6</v>
      </c>
    </row>
    <row r="456" spans="1:8" hidden="1">
      <c r="A456" s="32"/>
      <c r="B456" s="32"/>
      <c r="C456" s="33" t="e">
        <f t="shared" si="15"/>
        <v>#N/A</v>
      </c>
      <c r="D456" s="19">
        <v>202500127</v>
      </c>
      <c r="E456">
        <v>43</v>
      </c>
      <c r="F456" t="e">
        <f>Tabela1[[#This Row],[Total de jovens na turma ]]*3</f>
        <v>#N/A</v>
      </c>
      <c r="G456" s="37" t="e">
        <f t="shared" si="16"/>
        <v>#N/A</v>
      </c>
      <c r="H456" s="24">
        <v>6</v>
      </c>
    </row>
    <row r="457" spans="1:8" hidden="1">
      <c r="A457" s="32"/>
      <c r="B457" s="32"/>
      <c r="C457" s="33" t="e">
        <f t="shared" si="15"/>
        <v>#N/A</v>
      </c>
      <c r="D457" s="18">
        <v>202500127</v>
      </c>
      <c r="E457">
        <v>43</v>
      </c>
      <c r="F457" t="e">
        <f>Tabela1[[#This Row],[Total de jovens na turma ]]*3</f>
        <v>#N/A</v>
      </c>
      <c r="G457" s="37" t="e">
        <f t="shared" si="16"/>
        <v>#N/A</v>
      </c>
      <c r="H457" s="24">
        <v>6</v>
      </c>
    </row>
    <row r="458" spans="1:8" hidden="1">
      <c r="A458" s="32"/>
      <c r="B458" s="32"/>
      <c r="C458" s="33" t="e">
        <f t="shared" si="15"/>
        <v>#N/A</v>
      </c>
      <c r="D458" s="19">
        <v>202500127</v>
      </c>
      <c r="E458">
        <v>43</v>
      </c>
      <c r="F458" t="e">
        <f>Tabela1[[#This Row],[Total de jovens na turma ]]*3</f>
        <v>#N/A</v>
      </c>
      <c r="G458" s="37" t="e">
        <f t="shared" si="16"/>
        <v>#N/A</v>
      </c>
      <c r="H458" s="24">
        <v>6</v>
      </c>
    </row>
    <row r="459" spans="1:8" hidden="1">
      <c r="A459" s="32"/>
      <c r="B459" s="32"/>
      <c r="C459" s="33" t="e">
        <f t="shared" si="15"/>
        <v>#N/A</v>
      </c>
      <c r="D459" s="18">
        <v>202500127</v>
      </c>
      <c r="E459">
        <v>43</v>
      </c>
      <c r="F459" t="e">
        <f>Tabela1[[#This Row],[Total de jovens na turma ]]*3</f>
        <v>#N/A</v>
      </c>
      <c r="G459" s="37" t="e">
        <f t="shared" si="16"/>
        <v>#N/A</v>
      </c>
      <c r="H459" s="24">
        <v>6</v>
      </c>
    </row>
    <row r="460" spans="1:8" hidden="1">
      <c r="A460" s="32"/>
      <c r="B460" s="32"/>
      <c r="C460" s="33" t="e">
        <f t="shared" si="15"/>
        <v>#N/A</v>
      </c>
      <c r="D460" s="19">
        <v>202500127</v>
      </c>
      <c r="E460">
        <v>43</v>
      </c>
      <c r="F460" t="e">
        <f>Tabela1[[#This Row],[Total de jovens na turma ]]*3</f>
        <v>#N/A</v>
      </c>
      <c r="G460" s="37" t="e">
        <f t="shared" si="16"/>
        <v>#N/A</v>
      </c>
      <c r="H460" s="24">
        <v>6</v>
      </c>
    </row>
    <row r="461" spans="1:8" hidden="1">
      <c r="A461" s="32"/>
      <c r="B461" s="32"/>
      <c r="C461" s="33" t="e">
        <f t="shared" si="15"/>
        <v>#N/A</v>
      </c>
      <c r="D461" s="18">
        <v>202500127</v>
      </c>
      <c r="E461">
        <v>43</v>
      </c>
      <c r="F461" t="e">
        <f>Tabela1[[#This Row],[Total de jovens na turma ]]*3</f>
        <v>#N/A</v>
      </c>
      <c r="G461" s="37" t="e">
        <f t="shared" si="16"/>
        <v>#N/A</v>
      </c>
      <c r="H461" s="24">
        <v>6</v>
      </c>
    </row>
    <row r="462" spans="1:8" hidden="1">
      <c r="A462" s="32"/>
      <c r="B462" s="32"/>
      <c r="C462" s="33" t="e">
        <f t="shared" si="15"/>
        <v>#N/A</v>
      </c>
      <c r="D462" s="19">
        <v>202500127</v>
      </c>
      <c r="E462">
        <v>43</v>
      </c>
      <c r="F462" t="e">
        <f>Tabela1[[#This Row],[Total de jovens na turma ]]*3</f>
        <v>#N/A</v>
      </c>
      <c r="G462" s="37" t="e">
        <f t="shared" si="16"/>
        <v>#N/A</v>
      </c>
      <c r="H462" s="24">
        <v>6</v>
      </c>
    </row>
    <row r="463" spans="1:8" hidden="1">
      <c r="A463" s="32"/>
      <c r="B463" s="32"/>
      <c r="C463" s="33" t="e">
        <f t="shared" si="15"/>
        <v>#N/A</v>
      </c>
      <c r="D463" s="18">
        <v>202500127</v>
      </c>
      <c r="E463">
        <v>43</v>
      </c>
      <c r="F463" t="e">
        <f>Tabela1[[#This Row],[Total de jovens na turma ]]*3</f>
        <v>#N/A</v>
      </c>
      <c r="G463" s="37" t="e">
        <f t="shared" si="16"/>
        <v>#N/A</v>
      </c>
      <c r="H463" s="24">
        <v>6</v>
      </c>
    </row>
    <row r="464" spans="1:8" hidden="1">
      <c r="A464" s="32"/>
      <c r="B464" s="32"/>
      <c r="C464" s="33" t="e">
        <f t="shared" si="15"/>
        <v>#N/A</v>
      </c>
      <c r="D464" s="19">
        <v>202500127</v>
      </c>
      <c r="E464">
        <v>43</v>
      </c>
      <c r="F464" t="e">
        <f>Tabela1[[#This Row],[Total de jovens na turma ]]*3</f>
        <v>#N/A</v>
      </c>
      <c r="G464" s="37" t="e">
        <f t="shared" si="16"/>
        <v>#N/A</v>
      </c>
      <c r="H464" s="24">
        <v>6</v>
      </c>
    </row>
    <row r="465" spans="1:8" hidden="1">
      <c r="A465" s="32"/>
      <c r="B465" s="32"/>
      <c r="C465" s="33" t="e">
        <f t="shared" si="15"/>
        <v>#N/A</v>
      </c>
      <c r="D465" s="18">
        <v>202500127</v>
      </c>
      <c r="E465">
        <v>43</v>
      </c>
      <c r="F465" t="e">
        <f>Tabela1[[#This Row],[Total de jovens na turma ]]*3</f>
        <v>#N/A</v>
      </c>
      <c r="G465" s="37" t="e">
        <f t="shared" si="16"/>
        <v>#N/A</v>
      </c>
      <c r="H465" s="24">
        <v>6</v>
      </c>
    </row>
    <row r="466" spans="1:8" hidden="1">
      <c r="A466" s="32"/>
      <c r="B466" s="32"/>
      <c r="C466" s="33" t="e">
        <f t="shared" si="15"/>
        <v>#N/A</v>
      </c>
      <c r="D466" s="19">
        <v>202500127</v>
      </c>
      <c r="E466">
        <v>43</v>
      </c>
      <c r="F466" t="e">
        <f>Tabela1[[#This Row],[Total de jovens na turma ]]*3</f>
        <v>#N/A</v>
      </c>
      <c r="G466" s="37" t="e">
        <f t="shared" si="16"/>
        <v>#N/A</v>
      </c>
      <c r="H466" s="24">
        <v>6</v>
      </c>
    </row>
    <row r="467" spans="1:8" hidden="1">
      <c r="A467" s="32"/>
      <c r="B467" s="32"/>
      <c r="C467" s="33" t="e">
        <f t="shared" si="15"/>
        <v>#N/A</v>
      </c>
      <c r="D467" s="18">
        <v>202500127</v>
      </c>
      <c r="E467">
        <v>43</v>
      </c>
      <c r="F467" t="e">
        <f>Tabela1[[#This Row],[Total de jovens na turma ]]*3</f>
        <v>#N/A</v>
      </c>
      <c r="G467" s="37" t="e">
        <f t="shared" si="16"/>
        <v>#N/A</v>
      </c>
      <c r="H467" s="24">
        <v>6</v>
      </c>
    </row>
    <row r="468" spans="1:8" hidden="1">
      <c r="A468" s="32"/>
      <c r="B468" s="32"/>
      <c r="C468" s="33" t="e">
        <f t="shared" si="15"/>
        <v>#N/A</v>
      </c>
      <c r="D468" s="19">
        <v>202500127</v>
      </c>
      <c r="E468">
        <v>43</v>
      </c>
      <c r="F468" t="e">
        <f>Tabela1[[#This Row],[Total de jovens na turma ]]*3</f>
        <v>#N/A</v>
      </c>
      <c r="G468" s="37" t="e">
        <f t="shared" si="16"/>
        <v>#N/A</v>
      </c>
      <c r="H468" s="24">
        <v>6</v>
      </c>
    </row>
    <row r="469" spans="1:8" hidden="1">
      <c r="A469" s="32"/>
      <c r="B469" s="32"/>
      <c r="C469" s="33" t="e">
        <f t="shared" si="15"/>
        <v>#N/A</v>
      </c>
      <c r="D469" s="18">
        <v>202500127</v>
      </c>
      <c r="E469">
        <v>43</v>
      </c>
      <c r="F469" t="e">
        <f>Tabela1[[#This Row],[Total de jovens na turma ]]*3</f>
        <v>#N/A</v>
      </c>
      <c r="G469" s="37" t="e">
        <f t="shared" si="16"/>
        <v>#N/A</v>
      </c>
      <c r="H469" s="24">
        <v>6</v>
      </c>
    </row>
    <row r="470" spans="1:8" hidden="1">
      <c r="A470" s="32"/>
      <c r="B470" s="32"/>
      <c r="C470" s="33" t="e">
        <f t="shared" si="15"/>
        <v>#N/A</v>
      </c>
      <c r="D470" s="19">
        <v>202500127</v>
      </c>
      <c r="E470">
        <v>43</v>
      </c>
      <c r="F470" t="e">
        <f>Tabela1[[#This Row],[Total de jovens na turma ]]*3</f>
        <v>#N/A</v>
      </c>
      <c r="G470" s="37" t="e">
        <f t="shared" si="16"/>
        <v>#N/A</v>
      </c>
      <c r="H470" s="24">
        <v>6</v>
      </c>
    </row>
    <row r="471" spans="1:8" hidden="1">
      <c r="A471" s="32"/>
      <c r="B471" s="32"/>
      <c r="C471" s="33" t="e">
        <f t="shared" si="15"/>
        <v>#N/A</v>
      </c>
      <c r="D471" s="18">
        <v>202500127</v>
      </c>
      <c r="E471">
        <v>43</v>
      </c>
      <c r="F471" t="e">
        <f>Tabela1[[#This Row],[Total de jovens na turma ]]*3</f>
        <v>#N/A</v>
      </c>
      <c r="G471" s="37" t="e">
        <f t="shared" si="16"/>
        <v>#N/A</v>
      </c>
      <c r="H471" s="24">
        <v>6</v>
      </c>
    </row>
    <row r="472" spans="1:8" hidden="1">
      <c r="A472" s="32"/>
      <c r="B472" s="32"/>
      <c r="C472" s="33" t="e">
        <f t="shared" si="15"/>
        <v>#N/A</v>
      </c>
      <c r="D472" s="19">
        <v>202500127</v>
      </c>
      <c r="E472">
        <v>43</v>
      </c>
      <c r="F472" t="e">
        <f>Tabela1[[#This Row],[Total de jovens na turma ]]*3</f>
        <v>#N/A</v>
      </c>
      <c r="G472" s="37" t="e">
        <f t="shared" si="16"/>
        <v>#N/A</v>
      </c>
      <c r="H472" s="24">
        <v>6</v>
      </c>
    </row>
    <row r="473" spans="1:8" hidden="1">
      <c r="A473" s="32"/>
      <c r="B473" s="32"/>
      <c r="C473" s="33" t="e">
        <f t="shared" si="15"/>
        <v>#N/A</v>
      </c>
      <c r="D473" s="18">
        <v>202500127</v>
      </c>
      <c r="E473">
        <v>43</v>
      </c>
      <c r="F473" t="e">
        <f>Tabela1[[#This Row],[Total de jovens na turma ]]*3</f>
        <v>#N/A</v>
      </c>
      <c r="G473" s="37" t="e">
        <f t="shared" si="16"/>
        <v>#N/A</v>
      </c>
      <c r="H473" s="24">
        <v>6</v>
      </c>
    </row>
    <row r="474" spans="1:8" hidden="1">
      <c r="A474" s="32"/>
      <c r="B474" s="32"/>
      <c r="C474" s="33" t="e">
        <f t="shared" si="15"/>
        <v>#N/A</v>
      </c>
      <c r="D474" s="19">
        <v>202500127</v>
      </c>
      <c r="E474">
        <v>43</v>
      </c>
      <c r="F474" t="e">
        <f>Tabela1[[#This Row],[Total de jovens na turma ]]*3</f>
        <v>#N/A</v>
      </c>
      <c r="G474" s="37" t="e">
        <f t="shared" si="16"/>
        <v>#N/A</v>
      </c>
      <c r="H474" s="24">
        <v>6</v>
      </c>
    </row>
    <row r="475" spans="1:8" hidden="1">
      <c r="A475" s="32"/>
      <c r="B475" s="32"/>
      <c r="C475" s="33" t="e">
        <f t="shared" si="15"/>
        <v>#N/A</v>
      </c>
      <c r="D475" s="18">
        <v>202500127</v>
      </c>
      <c r="E475">
        <v>43</v>
      </c>
      <c r="F475" t="e">
        <f>Tabela1[[#This Row],[Total de jovens na turma ]]*3</f>
        <v>#N/A</v>
      </c>
      <c r="G475" s="37" t="e">
        <f t="shared" si="16"/>
        <v>#N/A</v>
      </c>
      <c r="H475" s="24">
        <v>6</v>
      </c>
    </row>
    <row r="476" spans="1:8" hidden="1">
      <c r="A476" s="32"/>
      <c r="B476" s="32"/>
      <c r="C476" s="33" t="e">
        <f t="shared" si="15"/>
        <v>#N/A</v>
      </c>
      <c r="D476" s="19">
        <v>202500127</v>
      </c>
      <c r="E476">
        <v>43</v>
      </c>
      <c r="F476" t="e">
        <f>Tabela1[[#This Row],[Total de jovens na turma ]]*3</f>
        <v>#N/A</v>
      </c>
      <c r="G476" s="37" t="e">
        <f t="shared" si="16"/>
        <v>#N/A</v>
      </c>
      <c r="H476" s="24">
        <v>6</v>
      </c>
    </row>
    <row r="477" spans="1:8" hidden="1">
      <c r="A477" s="32"/>
      <c r="B477" s="32"/>
      <c r="C477" s="33" t="e">
        <f t="shared" si="15"/>
        <v>#N/A</v>
      </c>
      <c r="D477" s="18">
        <v>202500127</v>
      </c>
      <c r="E477">
        <v>43</v>
      </c>
      <c r="F477" t="e">
        <f>Tabela1[[#This Row],[Total de jovens na turma ]]*3</f>
        <v>#N/A</v>
      </c>
      <c r="G477" s="37" t="e">
        <f t="shared" si="16"/>
        <v>#N/A</v>
      </c>
      <c r="H477" s="24">
        <v>6</v>
      </c>
    </row>
    <row r="478" spans="1:8" hidden="1">
      <c r="A478" s="32"/>
      <c r="B478" s="32"/>
      <c r="C478" s="33" t="e">
        <f t="shared" si="15"/>
        <v>#N/A</v>
      </c>
      <c r="D478" s="19">
        <v>202500127</v>
      </c>
      <c r="E478">
        <v>43</v>
      </c>
      <c r="F478" t="e">
        <f>Tabela1[[#This Row],[Total de jovens na turma ]]*3</f>
        <v>#N/A</v>
      </c>
      <c r="G478" s="37" t="e">
        <f t="shared" si="16"/>
        <v>#N/A</v>
      </c>
      <c r="H478" s="24">
        <v>6</v>
      </c>
    </row>
    <row r="479" spans="1:8" hidden="1">
      <c r="A479" s="32"/>
      <c r="B479" s="32"/>
      <c r="C479" s="33" t="e">
        <f t="shared" si="15"/>
        <v>#N/A</v>
      </c>
      <c r="D479" s="18">
        <v>202500127</v>
      </c>
      <c r="E479">
        <v>43</v>
      </c>
      <c r="F479" t="e">
        <f>Tabela1[[#This Row],[Total de jovens na turma ]]*3</f>
        <v>#N/A</v>
      </c>
      <c r="G479" s="37" t="e">
        <f t="shared" si="16"/>
        <v>#N/A</v>
      </c>
      <c r="H479" s="24">
        <v>6</v>
      </c>
    </row>
    <row r="480" spans="1:8" hidden="1">
      <c r="A480" s="32"/>
      <c r="B480" s="32"/>
      <c r="C480" s="33" t="e">
        <f t="shared" si="15"/>
        <v>#N/A</v>
      </c>
      <c r="D480" s="19">
        <v>202500127</v>
      </c>
      <c r="E480">
        <v>43</v>
      </c>
      <c r="F480" t="e">
        <f>Tabela1[[#This Row],[Total de jovens na turma ]]*3</f>
        <v>#N/A</v>
      </c>
      <c r="G480" s="37" t="e">
        <f t="shared" si="16"/>
        <v>#N/A</v>
      </c>
      <c r="H480" s="24">
        <v>6</v>
      </c>
    </row>
    <row r="481" spans="1:8" hidden="1">
      <c r="A481" s="32"/>
      <c r="B481" s="32"/>
      <c r="C481" s="33" t="e">
        <f t="shared" si="15"/>
        <v>#N/A</v>
      </c>
      <c r="D481" s="18">
        <v>202500127</v>
      </c>
      <c r="E481">
        <v>43</v>
      </c>
      <c r="F481" t="e">
        <f>Tabela1[[#This Row],[Total de jovens na turma ]]*3</f>
        <v>#N/A</v>
      </c>
      <c r="G481" s="37" t="e">
        <f t="shared" si="16"/>
        <v>#N/A</v>
      </c>
      <c r="H481" s="24">
        <v>6</v>
      </c>
    </row>
    <row r="482" spans="1:8" hidden="1">
      <c r="A482" s="32"/>
      <c r="B482" s="32"/>
      <c r="C482" s="33" t="e">
        <f t="shared" si="15"/>
        <v>#N/A</v>
      </c>
      <c r="D482" s="19">
        <v>202500127</v>
      </c>
      <c r="E482">
        <v>43</v>
      </c>
      <c r="F482" t="e">
        <f>Tabela1[[#This Row],[Total de jovens na turma ]]*3</f>
        <v>#N/A</v>
      </c>
      <c r="G482" s="37" t="e">
        <f t="shared" si="16"/>
        <v>#N/A</v>
      </c>
      <c r="H482" s="24">
        <v>6</v>
      </c>
    </row>
    <row r="483" spans="1:8" hidden="1">
      <c r="A483" s="32"/>
      <c r="B483" s="32"/>
      <c r="C483" s="33" t="e">
        <f t="shared" si="15"/>
        <v>#N/A</v>
      </c>
      <c r="D483" s="18">
        <v>202500127</v>
      </c>
      <c r="E483">
        <v>43</v>
      </c>
      <c r="F483" t="e">
        <f>Tabela1[[#This Row],[Total de jovens na turma ]]*3</f>
        <v>#N/A</v>
      </c>
      <c r="G483" s="37" t="e">
        <f t="shared" si="16"/>
        <v>#N/A</v>
      </c>
      <c r="H483" s="24">
        <v>6</v>
      </c>
    </row>
    <row r="484" spans="1:8" hidden="1">
      <c r="A484" s="32"/>
      <c r="B484" s="32"/>
      <c r="C484" s="33" t="e">
        <f t="shared" si="15"/>
        <v>#N/A</v>
      </c>
      <c r="D484" s="19">
        <v>202500127</v>
      </c>
      <c r="E484">
        <v>43</v>
      </c>
      <c r="F484" t="e">
        <f>Tabela1[[#This Row],[Total de jovens na turma ]]*3</f>
        <v>#N/A</v>
      </c>
      <c r="G484" s="37" t="e">
        <f t="shared" si="16"/>
        <v>#N/A</v>
      </c>
      <c r="H484" s="24">
        <v>6</v>
      </c>
    </row>
    <row r="485" spans="1:8" hidden="1">
      <c r="A485" s="32"/>
      <c r="B485" s="32"/>
      <c r="C485" s="33" t="e">
        <f t="shared" si="15"/>
        <v>#N/A</v>
      </c>
      <c r="D485" s="18">
        <v>202500132</v>
      </c>
      <c r="E485">
        <v>29</v>
      </c>
      <c r="F485" t="e">
        <f>Tabela1[[#This Row],[Total de jovens na turma ]]*3</f>
        <v>#N/A</v>
      </c>
      <c r="G485" s="37" t="e">
        <f t="shared" si="16"/>
        <v>#N/A</v>
      </c>
      <c r="H485" s="24">
        <v>6</v>
      </c>
    </row>
    <row r="486" spans="1:8" hidden="1">
      <c r="A486" s="32"/>
      <c r="B486" s="32"/>
      <c r="C486" s="33" t="e">
        <f t="shared" si="15"/>
        <v>#N/A</v>
      </c>
      <c r="D486" s="19">
        <v>202500132</v>
      </c>
      <c r="E486">
        <v>29</v>
      </c>
      <c r="F486" t="e">
        <f>Tabela1[[#This Row],[Total de jovens na turma ]]*3</f>
        <v>#N/A</v>
      </c>
      <c r="G486" s="37" t="e">
        <f t="shared" si="16"/>
        <v>#N/A</v>
      </c>
      <c r="H486" s="24">
        <v>6</v>
      </c>
    </row>
    <row r="487" spans="1:8" hidden="1">
      <c r="A487" s="32"/>
      <c r="B487" s="32"/>
      <c r="C487" s="33" t="e">
        <f t="shared" si="15"/>
        <v>#N/A</v>
      </c>
      <c r="D487" s="18">
        <v>202500119</v>
      </c>
      <c r="E487">
        <v>25</v>
      </c>
      <c r="F487" t="e">
        <f>Tabela1[[#This Row],[Total de jovens na turma ]]*3</f>
        <v>#N/A</v>
      </c>
      <c r="G487" s="37" t="e">
        <f t="shared" si="16"/>
        <v>#N/A</v>
      </c>
      <c r="H487" s="24">
        <v>6</v>
      </c>
    </row>
    <row r="488" spans="1:8" hidden="1">
      <c r="A488" s="32"/>
      <c r="B488" s="32"/>
      <c r="C488" s="33" t="e">
        <f t="shared" si="15"/>
        <v>#N/A</v>
      </c>
      <c r="D488" s="19">
        <v>202500119</v>
      </c>
      <c r="E488">
        <v>25</v>
      </c>
      <c r="F488" t="e">
        <f>Tabela1[[#This Row],[Total de jovens na turma ]]*3</f>
        <v>#N/A</v>
      </c>
      <c r="G488" s="37" t="e">
        <f t="shared" si="16"/>
        <v>#N/A</v>
      </c>
      <c r="H488" s="24">
        <v>6</v>
      </c>
    </row>
    <row r="489" spans="1:8" hidden="1">
      <c r="A489" s="32"/>
      <c r="B489" s="32"/>
      <c r="C489" s="33" t="e">
        <f t="shared" si="15"/>
        <v>#N/A</v>
      </c>
      <c r="D489" s="18">
        <v>202500119</v>
      </c>
      <c r="E489">
        <v>25</v>
      </c>
      <c r="F489" t="e">
        <f>Tabela1[[#This Row],[Total de jovens na turma ]]*3</f>
        <v>#N/A</v>
      </c>
      <c r="G489" s="37" t="e">
        <f t="shared" si="16"/>
        <v>#N/A</v>
      </c>
      <c r="H489" s="24">
        <v>6</v>
      </c>
    </row>
    <row r="490" spans="1:8" hidden="1">
      <c r="A490" s="32"/>
      <c r="B490" s="32"/>
      <c r="C490" s="33" t="e">
        <f t="shared" si="15"/>
        <v>#N/A</v>
      </c>
      <c r="D490" s="19">
        <v>202500119</v>
      </c>
      <c r="E490">
        <v>25</v>
      </c>
      <c r="F490" t="e">
        <f>Tabela1[[#This Row],[Total de jovens na turma ]]*3</f>
        <v>#N/A</v>
      </c>
      <c r="G490" s="37" t="e">
        <f t="shared" si="16"/>
        <v>#N/A</v>
      </c>
      <c r="H490" s="24">
        <v>6</v>
      </c>
    </row>
    <row r="491" spans="1:8" hidden="1">
      <c r="A491" s="32"/>
      <c r="B491" s="32"/>
      <c r="C491" s="33" t="e">
        <f t="shared" si="15"/>
        <v>#N/A</v>
      </c>
      <c r="D491" s="18">
        <v>202500119</v>
      </c>
      <c r="E491">
        <v>25</v>
      </c>
      <c r="F491" t="e">
        <f>Tabela1[[#This Row],[Total de jovens na turma ]]*3</f>
        <v>#N/A</v>
      </c>
      <c r="G491" s="37" t="e">
        <f t="shared" si="16"/>
        <v>#N/A</v>
      </c>
      <c r="H491" s="24">
        <v>6</v>
      </c>
    </row>
    <row r="492" spans="1:8" hidden="1">
      <c r="A492" s="32"/>
      <c r="B492" s="32"/>
      <c r="C492" s="33" t="e">
        <f t="shared" si="15"/>
        <v>#N/A</v>
      </c>
      <c r="D492" s="19">
        <v>202500119</v>
      </c>
      <c r="E492">
        <v>25</v>
      </c>
      <c r="F492" t="e">
        <f>Tabela1[[#This Row],[Total de jovens na turma ]]*3</f>
        <v>#N/A</v>
      </c>
      <c r="G492" s="37" t="e">
        <f t="shared" si="16"/>
        <v>#N/A</v>
      </c>
      <c r="H492" s="24">
        <v>6</v>
      </c>
    </row>
    <row r="493" spans="1:8" hidden="1">
      <c r="A493" s="32"/>
      <c r="B493" s="32"/>
      <c r="C493" s="33" t="e">
        <f t="shared" si="15"/>
        <v>#N/A</v>
      </c>
      <c r="D493" s="18">
        <v>202500119</v>
      </c>
      <c r="E493">
        <v>25</v>
      </c>
      <c r="F493" t="e">
        <f>Tabela1[[#This Row],[Total de jovens na turma ]]*3</f>
        <v>#N/A</v>
      </c>
      <c r="G493" s="37" t="e">
        <f t="shared" si="16"/>
        <v>#N/A</v>
      </c>
      <c r="H493" s="24">
        <v>6</v>
      </c>
    </row>
    <row r="494" spans="1:8" hidden="1">
      <c r="A494" s="32"/>
      <c r="B494" s="32"/>
      <c r="C494" s="33" t="e">
        <f t="shared" si="15"/>
        <v>#N/A</v>
      </c>
      <c r="D494" s="19">
        <v>202500121</v>
      </c>
      <c r="E494">
        <v>26</v>
      </c>
      <c r="F494" t="e">
        <f>Tabela1[[#This Row],[Total de jovens na turma ]]*3</f>
        <v>#N/A</v>
      </c>
      <c r="G494" s="37" t="e">
        <f t="shared" si="16"/>
        <v>#N/A</v>
      </c>
      <c r="H494" s="24">
        <v>6</v>
      </c>
    </row>
    <row r="495" spans="1:8" hidden="1">
      <c r="A495" s="32"/>
      <c r="B495" s="32"/>
      <c r="C495" s="33" t="e">
        <f t="shared" si="15"/>
        <v>#N/A</v>
      </c>
      <c r="D495" s="18">
        <v>202500121</v>
      </c>
      <c r="E495">
        <v>26</v>
      </c>
      <c r="F495" t="e">
        <f>Tabela1[[#This Row],[Total de jovens na turma ]]*3</f>
        <v>#N/A</v>
      </c>
      <c r="G495" s="37" t="e">
        <f t="shared" si="16"/>
        <v>#N/A</v>
      </c>
      <c r="H495" s="24">
        <v>6</v>
      </c>
    </row>
    <row r="496" spans="1:8" hidden="1">
      <c r="A496" s="32"/>
      <c r="B496" s="32"/>
      <c r="C496" s="33" t="e">
        <f t="shared" si="15"/>
        <v>#N/A</v>
      </c>
      <c r="D496" s="19">
        <v>202500121</v>
      </c>
      <c r="E496">
        <v>26</v>
      </c>
      <c r="F496" t="e">
        <f>Tabela1[[#This Row],[Total de jovens na turma ]]*3</f>
        <v>#N/A</v>
      </c>
      <c r="G496" s="37" t="e">
        <f t="shared" si="16"/>
        <v>#N/A</v>
      </c>
      <c r="H496" s="24">
        <v>6</v>
      </c>
    </row>
    <row r="497" spans="1:8" hidden="1">
      <c r="A497" s="32"/>
      <c r="B497" s="32"/>
      <c r="C497" s="33" t="e">
        <f t="shared" si="15"/>
        <v>#N/A</v>
      </c>
      <c r="D497" s="18">
        <v>202500132</v>
      </c>
      <c r="E497">
        <v>29</v>
      </c>
      <c r="F497" t="e">
        <f>Tabela1[[#This Row],[Total de jovens na turma ]]*3</f>
        <v>#N/A</v>
      </c>
      <c r="G497" s="37" t="e">
        <f t="shared" si="16"/>
        <v>#N/A</v>
      </c>
      <c r="H497" s="24">
        <v>6</v>
      </c>
    </row>
    <row r="498" spans="1:8" hidden="1">
      <c r="A498" s="32"/>
      <c r="B498" s="32"/>
      <c r="C498" s="33" t="e">
        <f t="shared" si="15"/>
        <v>#N/A</v>
      </c>
      <c r="D498" s="19">
        <v>202500132</v>
      </c>
      <c r="E498">
        <v>29</v>
      </c>
      <c r="F498" t="e">
        <f>Tabela1[[#This Row],[Total de jovens na turma ]]*3</f>
        <v>#N/A</v>
      </c>
      <c r="G498" s="37" t="e">
        <f t="shared" si="16"/>
        <v>#N/A</v>
      </c>
      <c r="H498" s="24">
        <v>6</v>
      </c>
    </row>
    <row r="499" spans="1:8" hidden="1">
      <c r="A499" s="32"/>
      <c r="B499" s="32"/>
      <c r="C499" s="33" t="e">
        <f t="shared" si="15"/>
        <v>#N/A</v>
      </c>
      <c r="D499" s="18">
        <v>202500132</v>
      </c>
      <c r="E499">
        <v>29</v>
      </c>
      <c r="F499" t="e">
        <f>Tabela1[[#This Row],[Total de jovens na turma ]]*3</f>
        <v>#N/A</v>
      </c>
      <c r="G499" s="37" t="e">
        <f t="shared" si="16"/>
        <v>#N/A</v>
      </c>
      <c r="H499" s="24">
        <v>6</v>
      </c>
    </row>
    <row r="500" spans="1:8" hidden="1">
      <c r="A500" s="32"/>
      <c r="B500" s="32"/>
      <c r="C500" s="33" t="e">
        <f t="shared" si="15"/>
        <v>#N/A</v>
      </c>
      <c r="D500" s="19">
        <v>202500132</v>
      </c>
      <c r="E500">
        <v>29</v>
      </c>
      <c r="F500" t="e">
        <f>Tabela1[[#This Row],[Total de jovens na turma ]]*3</f>
        <v>#N/A</v>
      </c>
      <c r="G500" s="37" t="e">
        <f t="shared" si="16"/>
        <v>#N/A</v>
      </c>
      <c r="H500" s="24">
        <v>6</v>
      </c>
    </row>
    <row r="501" spans="1:8" hidden="1">
      <c r="A501" s="32"/>
      <c r="B501" s="32"/>
      <c r="C501" s="33" t="e">
        <f t="shared" si="15"/>
        <v>#N/A</v>
      </c>
      <c r="D501" s="18">
        <v>202500132</v>
      </c>
      <c r="E501">
        <v>29</v>
      </c>
      <c r="F501" t="e">
        <f>Tabela1[[#This Row],[Total de jovens na turma ]]*3</f>
        <v>#N/A</v>
      </c>
      <c r="G501" s="37" t="e">
        <f t="shared" si="16"/>
        <v>#N/A</v>
      </c>
      <c r="H501" s="24">
        <v>6</v>
      </c>
    </row>
    <row r="502" spans="1:8" hidden="1">
      <c r="A502" s="32"/>
      <c r="B502" s="32"/>
      <c r="C502" s="33" t="e">
        <f t="shared" si="15"/>
        <v>#N/A</v>
      </c>
      <c r="D502" s="19">
        <v>202500132</v>
      </c>
      <c r="E502">
        <v>29</v>
      </c>
      <c r="F502" t="e">
        <f>Tabela1[[#This Row],[Total de jovens na turma ]]*3</f>
        <v>#N/A</v>
      </c>
      <c r="G502" s="37" t="e">
        <f t="shared" si="16"/>
        <v>#N/A</v>
      </c>
      <c r="H502" s="24">
        <v>6</v>
      </c>
    </row>
    <row r="503" spans="1:8" hidden="1">
      <c r="A503" s="32"/>
      <c r="B503" s="32"/>
      <c r="C503" s="33" t="e">
        <f t="shared" si="15"/>
        <v>#N/A</v>
      </c>
      <c r="D503" s="18">
        <v>202500132</v>
      </c>
      <c r="E503">
        <v>29</v>
      </c>
      <c r="F503" t="e">
        <f>Tabela1[[#This Row],[Total de jovens na turma ]]*3</f>
        <v>#N/A</v>
      </c>
      <c r="G503" s="37" t="e">
        <f t="shared" si="16"/>
        <v>#N/A</v>
      </c>
      <c r="H503" s="24">
        <v>6</v>
      </c>
    </row>
    <row r="504" spans="1:8" hidden="1">
      <c r="A504" s="32"/>
      <c r="B504" s="32"/>
      <c r="C504" s="33" t="e">
        <f t="shared" si="15"/>
        <v>#N/A</v>
      </c>
      <c r="D504" s="19">
        <v>202500132</v>
      </c>
      <c r="E504">
        <v>29</v>
      </c>
      <c r="F504" t="e">
        <f>Tabela1[[#This Row],[Total de jovens na turma ]]*3</f>
        <v>#N/A</v>
      </c>
      <c r="G504" s="37" t="e">
        <f t="shared" si="16"/>
        <v>#N/A</v>
      </c>
      <c r="H504" s="24">
        <v>6</v>
      </c>
    </row>
    <row r="505" spans="1:8" hidden="1">
      <c r="A505" s="32"/>
      <c r="B505" s="32"/>
      <c r="C505" s="33" t="e">
        <f t="shared" si="15"/>
        <v>#N/A</v>
      </c>
      <c r="D505" s="18">
        <v>202500132</v>
      </c>
      <c r="E505">
        <v>29</v>
      </c>
      <c r="F505" t="e">
        <f>Tabela1[[#This Row],[Total de jovens na turma ]]*3</f>
        <v>#N/A</v>
      </c>
      <c r="G505" s="37" t="e">
        <f t="shared" si="16"/>
        <v>#N/A</v>
      </c>
      <c r="H505" s="24">
        <v>6</v>
      </c>
    </row>
    <row r="506" spans="1:8" hidden="1">
      <c r="A506" s="32"/>
      <c r="B506" s="32"/>
      <c r="C506" s="33" t="e">
        <f t="shared" si="15"/>
        <v>#N/A</v>
      </c>
      <c r="D506" s="19">
        <v>202500132</v>
      </c>
      <c r="E506">
        <v>29</v>
      </c>
      <c r="F506" t="e">
        <f>Tabela1[[#This Row],[Total de jovens na turma ]]*3</f>
        <v>#N/A</v>
      </c>
      <c r="G506" s="37" t="e">
        <f t="shared" si="16"/>
        <v>#N/A</v>
      </c>
      <c r="H506" s="24">
        <v>6</v>
      </c>
    </row>
    <row r="507" spans="1:8" hidden="1">
      <c r="A507" s="32"/>
      <c r="B507" s="32"/>
      <c r="C507" s="33" t="e">
        <f t="shared" si="15"/>
        <v>#N/A</v>
      </c>
      <c r="D507" s="18">
        <v>202500132</v>
      </c>
      <c r="E507">
        <v>29</v>
      </c>
      <c r="F507" t="e">
        <f>Tabela1[[#This Row],[Total de jovens na turma ]]*3</f>
        <v>#N/A</v>
      </c>
      <c r="G507" s="37" t="e">
        <f t="shared" si="16"/>
        <v>#N/A</v>
      </c>
      <c r="H507" s="24">
        <v>6</v>
      </c>
    </row>
    <row r="508" spans="1:8" hidden="1">
      <c r="A508" s="32"/>
      <c r="B508" s="32"/>
      <c r="C508" s="33" t="e">
        <f t="shared" si="15"/>
        <v>#N/A</v>
      </c>
      <c r="D508" s="19">
        <v>202500132</v>
      </c>
      <c r="E508">
        <v>29</v>
      </c>
      <c r="F508" t="e">
        <f>Tabela1[[#This Row],[Total de jovens na turma ]]*3</f>
        <v>#N/A</v>
      </c>
      <c r="G508" s="37" t="e">
        <f t="shared" si="16"/>
        <v>#N/A</v>
      </c>
      <c r="H508" s="24">
        <v>6</v>
      </c>
    </row>
    <row r="509" spans="1:8" hidden="1">
      <c r="A509" s="32"/>
      <c r="B509" s="32"/>
      <c r="C509" s="33" t="e">
        <f t="shared" si="15"/>
        <v>#N/A</v>
      </c>
      <c r="D509" s="18">
        <v>202500132</v>
      </c>
      <c r="E509">
        <v>29</v>
      </c>
      <c r="F509" t="e">
        <f>Tabela1[[#This Row],[Total de jovens na turma ]]*3</f>
        <v>#N/A</v>
      </c>
      <c r="G509" s="37" t="e">
        <f t="shared" si="16"/>
        <v>#N/A</v>
      </c>
      <c r="H509" s="24">
        <v>6</v>
      </c>
    </row>
    <row r="510" spans="1:8" hidden="1">
      <c r="A510" s="32"/>
      <c r="B510" s="32"/>
      <c r="C510" s="33" t="e">
        <f t="shared" si="15"/>
        <v>#N/A</v>
      </c>
      <c r="D510" s="19">
        <v>202500132</v>
      </c>
      <c r="E510">
        <v>29</v>
      </c>
      <c r="F510" t="e">
        <f>Tabela1[[#This Row],[Total de jovens na turma ]]*3</f>
        <v>#N/A</v>
      </c>
      <c r="G510" s="37" t="e">
        <f t="shared" si="16"/>
        <v>#N/A</v>
      </c>
      <c r="H510" s="24">
        <v>6</v>
      </c>
    </row>
    <row r="511" spans="1:8" hidden="1">
      <c r="A511" s="32"/>
      <c r="B511" s="32"/>
      <c r="C511" s="33" t="e">
        <f t="shared" si="15"/>
        <v>#N/A</v>
      </c>
      <c r="D511" s="18">
        <v>202500132</v>
      </c>
      <c r="E511">
        <v>29</v>
      </c>
      <c r="F511" t="e">
        <f>Tabela1[[#This Row],[Total de jovens na turma ]]*3</f>
        <v>#N/A</v>
      </c>
      <c r="G511" s="37" t="e">
        <f t="shared" si="16"/>
        <v>#N/A</v>
      </c>
      <c r="H511" s="24">
        <v>6</v>
      </c>
    </row>
    <row r="512" spans="1:8" hidden="1">
      <c r="A512" s="32"/>
      <c r="B512" s="32"/>
      <c r="C512" s="33" t="e">
        <f t="shared" si="15"/>
        <v>#N/A</v>
      </c>
      <c r="D512" s="19">
        <v>202500132</v>
      </c>
      <c r="E512">
        <v>29</v>
      </c>
      <c r="F512" t="e">
        <f>Tabela1[[#This Row],[Total de jovens na turma ]]*3</f>
        <v>#N/A</v>
      </c>
      <c r="G512" s="37" t="e">
        <f t="shared" si="16"/>
        <v>#N/A</v>
      </c>
      <c r="H512" s="24">
        <v>6</v>
      </c>
    </row>
    <row r="513" spans="1:8" hidden="1">
      <c r="A513" s="32"/>
      <c r="B513" s="32"/>
      <c r="C513" s="33" t="e">
        <f t="shared" si="15"/>
        <v>#N/A</v>
      </c>
      <c r="D513" s="18">
        <v>202500132</v>
      </c>
      <c r="E513">
        <v>29</v>
      </c>
      <c r="F513" t="e">
        <f>Tabela1[[#This Row],[Total de jovens na turma ]]*3</f>
        <v>#N/A</v>
      </c>
      <c r="G513" s="37" t="e">
        <f t="shared" si="16"/>
        <v>#N/A</v>
      </c>
      <c r="H513" s="24">
        <v>6</v>
      </c>
    </row>
    <row r="514" spans="1:8" hidden="1">
      <c r="A514" s="32"/>
      <c r="B514" s="32"/>
      <c r="C514" s="33" t="e">
        <f t="shared" si="15"/>
        <v>#N/A</v>
      </c>
      <c r="D514" s="19">
        <v>202500132</v>
      </c>
      <c r="E514">
        <v>29</v>
      </c>
      <c r="F514" t="e">
        <f>Tabela1[[#This Row],[Total de jovens na turma ]]*3</f>
        <v>#N/A</v>
      </c>
      <c r="G514" s="37" t="e">
        <f t="shared" si="16"/>
        <v>#N/A</v>
      </c>
      <c r="H514" s="24">
        <v>6</v>
      </c>
    </row>
    <row r="515" spans="1:8" hidden="1">
      <c r="A515" s="32"/>
      <c r="B515" s="32"/>
      <c r="C515" s="33" t="e">
        <f t="shared" si="15"/>
        <v>#N/A</v>
      </c>
      <c r="D515" s="18">
        <v>202500132</v>
      </c>
      <c r="E515">
        <v>29</v>
      </c>
      <c r="F515" t="e">
        <f>Tabela1[[#This Row],[Total de jovens na turma ]]*3</f>
        <v>#N/A</v>
      </c>
      <c r="G515" s="37" t="e">
        <f t="shared" si="16"/>
        <v>#N/A</v>
      </c>
      <c r="H515" s="24">
        <v>6</v>
      </c>
    </row>
    <row r="516" spans="1:8" hidden="1">
      <c r="A516" s="32"/>
      <c r="B516" s="32"/>
      <c r="C516" s="33" t="e">
        <f t="shared" si="15"/>
        <v>#N/A</v>
      </c>
      <c r="D516" s="19">
        <v>202500132</v>
      </c>
      <c r="E516">
        <v>29</v>
      </c>
      <c r="F516" t="e">
        <f>Tabela1[[#This Row],[Total de jovens na turma ]]*3</f>
        <v>#N/A</v>
      </c>
      <c r="G516" s="37" t="e">
        <f t="shared" si="16"/>
        <v>#N/A</v>
      </c>
      <c r="H516" s="24">
        <v>6</v>
      </c>
    </row>
    <row r="517" spans="1:8" hidden="1">
      <c r="A517" s="32"/>
      <c r="B517" s="32"/>
      <c r="C517" s="33" t="e">
        <f t="shared" ref="C517:C580" si="17">VLOOKUP(A517,D:E,2,0)</f>
        <v>#N/A</v>
      </c>
      <c r="D517" s="18">
        <v>202500132</v>
      </c>
      <c r="E517">
        <v>29</v>
      </c>
      <c r="F517" t="e">
        <f>Tabela1[[#This Row],[Total de jovens na turma ]]*3</f>
        <v>#N/A</v>
      </c>
      <c r="G517" s="37" t="e">
        <f t="shared" si="16"/>
        <v>#N/A</v>
      </c>
      <c r="H517" s="24">
        <v>6</v>
      </c>
    </row>
    <row r="518" spans="1:8" hidden="1">
      <c r="A518" s="32"/>
      <c r="B518" s="32"/>
      <c r="C518" s="33" t="e">
        <f t="shared" si="17"/>
        <v>#N/A</v>
      </c>
      <c r="D518" s="19">
        <v>202500132</v>
      </c>
      <c r="E518">
        <v>29</v>
      </c>
      <c r="F518" t="e">
        <f>Tabela1[[#This Row],[Total de jovens na turma ]]*3</f>
        <v>#N/A</v>
      </c>
      <c r="G518" s="37" t="e">
        <f t="shared" si="16"/>
        <v>#N/A</v>
      </c>
      <c r="H518" s="24">
        <v>6</v>
      </c>
    </row>
    <row r="519" spans="1:8" hidden="1">
      <c r="A519" s="32"/>
      <c r="B519" s="32"/>
      <c r="C519" s="33" t="e">
        <f t="shared" si="17"/>
        <v>#N/A</v>
      </c>
      <c r="D519" s="18">
        <v>202500132</v>
      </c>
      <c r="E519">
        <v>29</v>
      </c>
      <c r="F519" t="e">
        <f>Tabela1[[#This Row],[Total de jovens na turma ]]*3</f>
        <v>#N/A</v>
      </c>
      <c r="G519" s="37" t="e">
        <f t="shared" ref="G519:G582" si="18">F519/24</f>
        <v>#N/A</v>
      </c>
      <c r="H519" s="24">
        <v>6</v>
      </c>
    </row>
    <row r="520" spans="1:8" hidden="1">
      <c r="A520" s="32"/>
      <c r="B520" s="32"/>
      <c r="C520" s="33" t="e">
        <f t="shared" si="17"/>
        <v>#N/A</v>
      </c>
      <c r="D520" s="19">
        <v>202500132</v>
      </c>
      <c r="E520">
        <v>29</v>
      </c>
      <c r="F520" t="e">
        <f>Tabela1[[#This Row],[Total de jovens na turma ]]*3</f>
        <v>#N/A</v>
      </c>
      <c r="G520" s="37" t="e">
        <f t="shared" si="18"/>
        <v>#N/A</v>
      </c>
      <c r="H520" s="24">
        <v>6</v>
      </c>
    </row>
    <row r="521" spans="1:8" hidden="1">
      <c r="A521" s="32"/>
      <c r="B521" s="32"/>
      <c r="C521" s="33" t="e">
        <f t="shared" si="17"/>
        <v>#N/A</v>
      </c>
      <c r="D521" s="18">
        <v>202500132</v>
      </c>
      <c r="E521">
        <v>29</v>
      </c>
      <c r="F521" t="e">
        <f>Tabela1[[#This Row],[Total de jovens na turma ]]*3</f>
        <v>#N/A</v>
      </c>
      <c r="G521" s="37" t="e">
        <f t="shared" si="18"/>
        <v>#N/A</v>
      </c>
      <c r="H521" s="24">
        <v>6</v>
      </c>
    </row>
    <row r="522" spans="1:8" hidden="1">
      <c r="A522" s="32"/>
      <c r="B522" s="32"/>
      <c r="C522" s="33" t="e">
        <f t="shared" si="17"/>
        <v>#N/A</v>
      </c>
      <c r="D522" s="19">
        <v>202500298</v>
      </c>
      <c r="E522">
        <v>25</v>
      </c>
      <c r="F522" t="e">
        <f>Tabela1[[#This Row],[Total de jovens na turma ]]*3</f>
        <v>#N/A</v>
      </c>
      <c r="G522" s="37" t="e">
        <f t="shared" si="18"/>
        <v>#N/A</v>
      </c>
      <c r="H522" s="24">
        <v>6</v>
      </c>
    </row>
    <row r="523" spans="1:8" hidden="1">
      <c r="A523" s="32"/>
      <c r="B523" s="32"/>
      <c r="C523" s="33" t="e">
        <f t="shared" si="17"/>
        <v>#N/A</v>
      </c>
      <c r="D523" s="18">
        <v>202500298</v>
      </c>
      <c r="E523">
        <v>25</v>
      </c>
      <c r="F523" t="e">
        <f>Tabela1[[#This Row],[Total de jovens na turma ]]*3</f>
        <v>#N/A</v>
      </c>
      <c r="G523" s="37" t="e">
        <f t="shared" si="18"/>
        <v>#N/A</v>
      </c>
      <c r="H523" s="24">
        <v>6</v>
      </c>
    </row>
    <row r="524" spans="1:8" hidden="1">
      <c r="A524" s="32"/>
      <c r="B524" s="32"/>
      <c r="C524" s="33" t="e">
        <f t="shared" si="17"/>
        <v>#N/A</v>
      </c>
      <c r="D524" s="19">
        <v>202500298</v>
      </c>
      <c r="E524">
        <v>25</v>
      </c>
      <c r="F524" t="e">
        <f>Tabela1[[#This Row],[Total de jovens na turma ]]*3</f>
        <v>#N/A</v>
      </c>
      <c r="G524" s="37" t="e">
        <f t="shared" si="18"/>
        <v>#N/A</v>
      </c>
      <c r="H524" s="24">
        <v>6</v>
      </c>
    </row>
    <row r="525" spans="1:8" hidden="1">
      <c r="A525" s="32"/>
      <c r="B525" s="32"/>
      <c r="C525" s="33" t="e">
        <f t="shared" si="17"/>
        <v>#N/A</v>
      </c>
      <c r="D525" s="18">
        <v>202500298</v>
      </c>
      <c r="E525">
        <v>25</v>
      </c>
      <c r="F525" t="e">
        <f>Tabela1[[#This Row],[Total de jovens na turma ]]*3</f>
        <v>#N/A</v>
      </c>
      <c r="G525" s="37" t="e">
        <f t="shared" si="18"/>
        <v>#N/A</v>
      </c>
      <c r="H525" s="24">
        <v>6</v>
      </c>
    </row>
    <row r="526" spans="1:8" hidden="1">
      <c r="A526" s="32"/>
      <c r="B526" s="32"/>
      <c r="C526" s="33" t="e">
        <f t="shared" si="17"/>
        <v>#N/A</v>
      </c>
      <c r="D526" s="19">
        <v>202500298</v>
      </c>
      <c r="E526">
        <v>25</v>
      </c>
      <c r="F526" t="e">
        <f>Tabela1[[#This Row],[Total de jovens na turma ]]*3</f>
        <v>#N/A</v>
      </c>
      <c r="G526" s="37" t="e">
        <f t="shared" si="18"/>
        <v>#N/A</v>
      </c>
      <c r="H526" s="24">
        <v>6</v>
      </c>
    </row>
    <row r="527" spans="1:8" hidden="1">
      <c r="A527" s="32"/>
      <c r="B527" s="32"/>
      <c r="C527" s="33" t="e">
        <f t="shared" si="17"/>
        <v>#N/A</v>
      </c>
      <c r="D527" s="18">
        <v>202500298</v>
      </c>
      <c r="E527">
        <v>25</v>
      </c>
      <c r="F527" t="e">
        <f>Tabela1[[#This Row],[Total de jovens na turma ]]*3</f>
        <v>#N/A</v>
      </c>
      <c r="G527" s="37" t="e">
        <f t="shared" si="18"/>
        <v>#N/A</v>
      </c>
      <c r="H527" s="24">
        <v>6</v>
      </c>
    </row>
    <row r="528" spans="1:8" hidden="1">
      <c r="A528" s="32"/>
      <c r="B528" s="32"/>
      <c r="C528" s="33" t="e">
        <f t="shared" si="17"/>
        <v>#N/A</v>
      </c>
      <c r="D528" s="19">
        <v>202500298</v>
      </c>
      <c r="E528">
        <v>25</v>
      </c>
      <c r="F528" t="e">
        <f>Tabela1[[#This Row],[Total de jovens na turma ]]*3</f>
        <v>#N/A</v>
      </c>
      <c r="G528" s="37" t="e">
        <f t="shared" si="18"/>
        <v>#N/A</v>
      </c>
      <c r="H528" s="24">
        <v>6</v>
      </c>
    </row>
    <row r="529" spans="1:8" hidden="1">
      <c r="A529" s="32"/>
      <c r="B529" s="32"/>
      <c r="C529" s="33" t="e">
        <f t="shared" si="17"/>
        <v>#N/A</v>
      </c>
      <c r="D529" s="18">
        <v>202500298</v>
      </c>
      <c r="E529">
        <v>25</v>
      </c>
      <c r="F529" t="e">
        <f>Tabela1[[#This Row],[Total de jovens na turma ]]*3</f>
        <v>#N/A</v>
      </c>
      <c r="G529" s="37" t="e">
        <f t="shared" si="18"/>
        <v>#N/A</v>
      </c>
      <c r="H529" s="24">
        <v>6</v>
      </c>
    </row>
    <row r="530" spans="1:8" hidden="1">
      <c r="A530" s="32"/>
      <c r="B530" s="32"/>
      <c r="C530" s="33" t="e">
        <f t="shared" si="17"/>
        <v>#N/A</v>
      </c>
      <c r="D530" s="19">
        <v>202500298</v>
      </c>
      <c r="E530">
        <v>25</v>
      </c>
      <c r="F530" t="e">
        <f>Tabela1[[#This Row],[Total de jovens na turma ]]*3</f>
        <v>#N/A</v>
      </c>
      <c r="G530" s="37" t="e">
        <f t="shared" si="18"/>
        <v>#N/A</v>
      </c>
      <c r="H530" s="24">
        <v>6</v>
      </c>
    </row>
    <row r="531" spans="1:8" hidden="1">
      <c r="A531" s="32"/>
      <c r="B531" s="32"/>
      <c r="C531" s="33" t="e">
        <f t="shared" si="17"/>
        <v>#N/A</v>
      </c>
      <c r="D531" s="18">
        <v>202500298</v>
      </c>
      <c r="E531">
        <v>25</v>
      </c>
      <c r="F531" t="e">
        <f>Tabela1[[#This Row],[Total de jovens na turma ]]*3</f>
        <v>#N/A</v>
      </c>
      <c r="G531" s="37" t="e">
        <f t="shared" si="18"/>
        <v>#N/A</v>
      </c>
      <c r="H531" s="24">
        <v>6</v>
      </c>
    </row>
    <row r="532" spans="1:8" hidden="1">
      <c r="A532" s="32"/>
      <c r="B532" s="32"/>
      <c r="C532" s="33" t="e">
        <f t="shared" si="17"/>
        <v>#N/A</v>
      </c>
      <c r="D532" s="19">
        <v>202500298</v>
      </c>
      <c r="E532">
        <v>25</v>
      </c>
      <c r="F532" t="e">
        <f>Tabela1[[#This Row],[Total de jovens na turma ]]*3</f>
        <v>#N/A</v>
      </c>
      <c r="G532" s="37" t="e">
        <f t="shared" si="18"/>
        <v>#N/A</v>
      </c>
      <c r="H532" s="24">
        <v>6</v>
      </c>
    </row>
    <row r="533" spans="1:8" hidden="1">
      <c r="A533" s="32"/>
      <c r="B533" s="32"/>
      <c r="C533" s="33" t="e">
        <f t="shared" si="17"/>
        <v>#N/A</v>
      </c>
      <c r="D533" s="20">
        <v>202500298</v>
      </c>
      <c r="E533">
        <v>25</v>
      </c>
      <c r="F533" t="e">
        <f>Tabela1[[#This Row],[Total de jovens na turma ]]*3</f>
        <v>#N/A</v>
      </c>
      <c r="G533" s="37" t="e">
        <f t="shared" si="18"/>
        <v>#N/A</v>
      </c>
      <c r="H533" s="24">
        <v>6</v>
      </c>
    </row>
    <row r="534" spans="1:8" hidden="1">
      <c r="A534" s="32"/>
      <c r="B534" s="32"/>
      <c r="C534" s="33" t="e">
        <f t="shared" si="17"/>
        <v>#N/A</v>
      </c>
      <c r="D534" s="19">
        <v>202500298</v>
      </c>
      <c r="E534">
        <v>25</v>
      </c>
      <c r="F534" t="e">
        <f>Tabela1[[#This Row],[Total de jovens na turma ]]*3</f>
        <v>#N/A</v>
      </c>
      <c r="G534" s="37" t="e">
        <f t="shared" si="18"/>
        <v>#N/A</v>
      </c>
      <c r="H534" s="24">
        <v>6</v>
      </c>
    </row>
    <row r="535" spans="1:8" hidden="1">
      <c r="A535" s="32"/>
      <c r="B535" s="32"/>
      <c r="C535" s="33" t="e">
        <f t="shared" si="17"/>
        <v>#N/A</v>
      </c>
      <c r="D535" s="18">
        <v>202500298</v>
      </c>
      <c r="E535">
        <v>25</v>
      </c>
      <c r="F535" t="e">
        <f>Tabela1[[#This Row],[Total de jovens na turma ]]*3</f>
        <v>#N/A</v>
      </c>
      <c r="G535" s="37" t="e">
        <f t="shared" si="18"/>
        <v>#N/A</v>
      </c>
      <c r="H535" s="24">
        <v>6</v>
      </c>
    </row>
    <row r="536" spans="1:8" hidden="1">
      <c r="A536" s="32"/>
      <c r="B536" s="32"/>
      <c r="C536" s="33" t="e">
        <f t="shared" si="17"/>
        <v>#N/A</v>
      </c>
      <c r="D536" s="19">
        <v>202500298</v>
      </c>
      <c r="E536">
        <v>25</v>
      </c>
      <c r="F536" t="e">
        <f>Tabela1[[#This Row],[Total de jovens na turma ]]*3</f>
        <v>#N/A</v>
      </c>
      <c r="G536" s="37" t="e">
        <f t="shared" si="18"/>
        <v>#N/A</v>
      </c>
      <c r="H536" s="24">
        <v>6</v>
      </c>
    </row>
    <row r="537" spans="1:8" hidden="1">
      <c r="A537" s="32"/>
      <c r="B537" s="32"/>
      <c r="C537" s="33" t="e">
        <f t="shared" si="17"/>
        <v>#N/A</v>
      </c>
      <c r="D537" s="18">
        <v>202500298</v>
      </c>
      <c r="E537">
        <v>25</v>
      </c>
      <c r="F537" t="e">
        <f>Tabela1[[#This Row],[Total de jovens na turma ]]*3</f>
        <v>#N/A</v>
      </c>
      <c r="G537" s="37" t="e">
        <f t="shared" si="18"/>
        <v>#N/A</v>
      </c>
      <c r="H537" s="24">
        <v>6</v>
      </c>
    </row>
    <row r="538" spans="1:8" hidden="1">
      <c r="A538" s="32"/>
      <c r="B538" s="32"/>
      <c r="C538" s="33" t="e">
        <f t="shared" si="17"/>
        <v>#N/A</v>
      </c>
      <c r="D538" s="19">
        <v>202500298</v>
      </c>
      <c r="E538">
        <v>25</v>
      </c>
      <c r="F538" t="e">
        <f>Tabela1[[#This Row],[Total de jovens na turma ]]*3</f>
        <v>#N/A</v>
      </c>
      <c r="G538" s="37" t="e">
        <f t="shared" si="18"/>
        <v>#N/A</v>
      </c>
      <c r="H538" s="24">
        <v>6</v>
      </c>
    </row>
    <row r="539" spans="1:8" hidden="1">
      <c r="A539" s="32"/>
      <c r="B539" s="32"/>
      <c r="C539" s="33" t="e">
        <f t="shared" si="17"/>
        <v>#N/A</v>
      </c>
      <c r="D539" s="18">
        <v>202500298</v>
      </c>
      <c r="E539">
        <v>25</v>
      </c>
      <c r="F539" t="e">
        <f>Tabela1[[#This Row],[Total de jovens na turma ]]*3</f>
        <v>#N/A</v>
      </c>
      <c r="G539" s="37" t="e">
        <f t="shared" si="18"/>
        <v>#N/A</v>
      </c>
      <c r="H539" s="24">
        <v>6</v>
      </c>
    </row>
    <row r="540" spans="1:8" hidden="1">
      <c r="A540" s="32"/>
      <c r="B540" s="32"/>
      <c r="C540" s="33" t="e">
        <f t="shared" si="17"/>
        <v>#N/A</v>
      </c>
      <c r="D540" s="19">
        <v>202500298</v>
      </c>
      <c r="E540">
        <v>25</v>
      </c>
      <c r="F540" t="e">
        <f>Tabela1[[#This Row],[Total de jovens na turma ]]*3</f>
        <v>#N/A</v>
      </c>
      <c r="G540" s="37" t="e">
        <f t="shared" si="18"/>
        <v>#N/A</v>
      </c>
      <c r="H540" s="24">
        <v>6</v>
      </c>
    </row>
    <row r="541" spans="1:8" hidden="1">
      <c r="A541" s="32"/>
      <c r="B541" s="32"/>
      <c r="C541" s="33" t="e">
        <f t="shared" si="17"/>
        <v>#N/A</v>
      </c>
      <c r="D541" s="18">
        <v>202500298</v>
      </c>
      <c r="E541">
        <v>25</v>
      </c>
      <c r="F541" t="e">
        <f>Tabela1[[#This Row],[Total de jovens na turma ]]*3</f>
        <v>#N/A</v>
      </c>
      <c r="G541" s="37" t="e">
        <f t="shared" si="18"/>
        <v>#N/A</v>
      </c>
      <c r="H541" s="24">
        <v>6</v>
      </c>
    </row>
    <row r="542" spans="1:8" hidden="1">
      <c r="A542" s="32"/>
      <c r="B542" s="32"/>
      <c r="C542" s="33" t="e">
        <f t="shared" si="17"/>
        <v>#N/A</v>
      </c>
      <c r="D542" s="19">
        <v>202500298</v>
      </c>
      <c r="E542">
        <v>25</v>
      </c>
      <c r="F542" t="e">
        <f>Tabela1[[#This Row],[Total de jovens na turma ]]*3</f>
        <v>#N/A</v>
      </c>
      <c r="G542" s="37" t="e">
        <f t="shared" si="18"/>
        <v>#N/A</v>
      </c>
      <c r="H542" s="24">
        <v>6</v>
      </c>
    </row>
    <row r="543" spans="1:8" hidden="1">
      <c r="A543" s="32"/>
      <c r="B543" s="32"/>
      <c r="C543" s="33" t="e">
        <f t="shared" si="17"/>
        <v>#N/A</v>
      </c>
      <c r="D543" s="18">
        <v>202500298</v>
      </c>
      <c r="E543">
        <v>25</v>
      </c>
      <c r="F543" t="e">
        <f>Tabela1[[#This Row],[Total de jovens na turma ]]*3</f>
        <v>#N/A</v>
      </c>
      <c r="G543" s="37" t="e">
        <f t="shared" si="18"/>
        <v>#N/A</v>
      </c>
      <c r="H543" s="24">
        <v>6</v>
      </c>
    </row>
    <row r="544" spans="1:8" hidden="1">
      <c r="A544" s="32"/>
      <c r="B544" s="32"/>
      <c r="C544" s="33" t="e">
        <f t="shared" si="17"/>
        <v>#N/A</v>
      </c>
      <c r="D544" s="19">
        <v>202500298</v>
      </c>
      <c r="E544">
        <v>25</v>
      </c>
      <c r="F544" t="e">
        <f>Tabela1[[#This Row],[Total de jovens na turma ]]*3</f>
        <v>#N/A</v>
      </c>
      <c r="G544" s="37" t="e">
        <f t="shared" si="18"/>
        <v>#N/A</v>
      </c>
      <c r="H544" s="24">
        <v>6</v>
      </c>
    </row>
    <row r="545" spans="1:8" hidden="1">
      <c r="A545" s="32"/>
      <c r="B545" s="32"/>
      <c r="C545" s="33" t="e">
        <f t="shared" si="17"/>
        <v>#N/A</v>
      </c>
      <c r="D545" s="18">
        <v>202500298</v>
      </c>
      <c r="E545">
        <v>25</v>
      </c>
      <c r="F545" t="e">
        <f>Tabela1[[#This Row],[Total de jovens na turma ]]*3</f>
        <v>#N/A</v>
      </c>
      <c r="G545" s="37" t="e">
        <f t="shared" si="18"/>
        <v>#N/A</v>
      </c>
      <c r="H545" s="24">
        <v>6</v>
      </c>
    </row>
    <row r="546" spans="1:8" hidden="1">
      <c r="A546" s="32"/>
      <c r="B546" s="32"/>
      <c r="C546" s="33" t="e">
        <f t="shared" si="17"/>
        <v>#N/A</v>
      </c>
      <c r="D546" s="19">
        <v>202500298</v>
      </c>
      <c r="E546">
        <v>25</v>
      </c>
      <c r="F546" t="e">
        <f>Tabela1[[#This Row],[Total de jovens na turma ]]*3</f>
        <v>#N/A</v>
      </c>
      <c r="G546" s="37" t="e">
        <f t="shared" si="18"/>
        <v>#N/A</v>
      </c>
      <c r="H546" s="24">
        <v>6</v>
      </c>
    </row>
    <row r="547" spans="1:8" hidden="1">
      <c r="A547" s="32"/>
      <c r="B547" s="32"/>
      <c r="C547" s="33" t="e">
        <f t="shared" si="17"/>
        <v>#N/A</v>
      </c>
      <c r="D547" s="18">
        <v>202500357</v>
      </c>
      <c r="E547">
        <v>31</v>
      </c>
      <c r="F547" t="e">
        <f>Tabela1[[#This Row],[Total de jovens na turma ]]*3</f>
        <v>#N/A</v>
      </c>
      <c r="G547" s="37" t="e">
        <f t="shared" si="18"/>
        <v>#N/A</v>
      </c>
      <c r="H547" s="24">
        <v>6</v>
      </c>
    </row>
    <row r="548" spans="1:8" hidden="1">
      <c r="A548" s="32"/>
      <c r="B548" s="32"/>
      <c r="C548" s="33" t="e">
        <f t="shared" si="17"/>
        <v>#N/A</v>
      </c>
      <c r="D548" s="19">
        <v>202500357</v>
      </c>
      <c r="E548">
        <v>31</v>
      </c>
      <c r="F548" t="e">
        <f>Tabela1[[#This Row],[Total de jovens na turma ]]*3</f>
        <v>#N/A</v>
      </c>
      <c r="G548" s="37" t="e">
        <f t="shared" si="18"/>
        <v>#N/A</v>
      </c>
      <c r="H548" s="24">
        <v>6</v>
      </c>
    </row>
    <row r="549" spans="1:8" hidden="1">
      <c r="A549" s="32"/>
      <c r="B549" s="32"/>
      <c r="C549" s="33" t="e">
        <f t="shared" si="17"/>
        <v>#N/A</v>
      </c>
      <c r="D549" s="18">
        <v>202500357</v>
      </c>
      <c r="E549">
        <v>31</v>
      </c>
      <c r="F549" t="e">
        <f>Tabela1[[#This Row],[Total de jovens na turma ]]*3</f>
        <v>#N/A</v>
      </c>
      <c r="G549" s="37" t="e">
        <f t="shared" si="18"/>
        <v>#N/A</v>
      </c>
      <c r="H549" s="24">
        <v>6</v>
      </c>
    </row>
    <row r="550" spans="1:8" hidden="1">
      <c r="A550" s="32"/>
      <c r="B550" s="32"/>
      <c r="C550" s="33" t="e">
        <f t="shared" si="17"/>
        <v>#N/A</v>
      </c>
      <c r="D550" s="19">
        <v>202500357</v>
      </c>
      <c r="E550">
        <v>31</v>
      </c>
      <c r="F550" t="e">
        <f>Tabela1[[#This Row],[Total de jovens na turma ]]*3</f>
        <v>#N/A</v>
      </c>
      <c r="G550" s="37" t="e">
        <f t="shared" si="18"/>
        <v>#N/A</v>
      </c>
      <c r="H550" s="24">
        <v>6</v>
      </c>
    </row>
    <row r="551" spans="1:8" hidden="1">
      <c r="A551" s="32"/>
      <c r="B551" s="32"/>
      <c r="C551" s="33" t="e">
        <f t="shared" si="17"/>
        <v>#N/A</v>
      </c>
      <c r="D551" s="18">
        <v>202500357</v>
      </c>
      <c r="E551">
        <v>31</v>
      </c>
      <c r="F551" t="e">
        <f>Tabela1[[#This Row],[Total de jovens na turma ]]*3</f>
        <v>#N/A</v>
      </c>
      <c r="G551" s="37" t="e">
        <f t="shared" si="18"/>
        <v>#N/A</v>
      </c>
      <c r="H551" s="24">
        <v>6</v>
      </c>
    </row>
    <row r="552" spans="1:8" hidden="1">
      <c r="A552" s="32"/>
      <c r="B552" s="32"/>
      <c r="C552" s="33" t="e">
        <f t="shared" si="17"/>
        <v>#N/A</v>
      </c>
      <c r="D552" s="19">
        <v>202500357</v>
      </c>
      <c r="E552">
        <v>31</v>
      </c>
      <c r="F552" t="e">
        <f>Tabela1[[#This Row],[Total de jovens na turma ]]*3</f>
        <v>#N/A</v>
      </c>
      <c r="G552" s="37" t="e">
        <f t="shared" si="18"/>
        <v>#N/A</v>
      </c>
      <c r="H552" s="24">
        <v>6</v>
      </c>
    </row>
    <row r="553" spans="1:8" hidden="1">
      <c r="A553" s="32"/>
      <c r="B553" s="32"/>
      <c r="C553" s="33" t="e">
        <f t="shared" si="17"/>
        <v>#N/A</v>
      </c>
      <c r="D553" s="18">
        <v>202500357</v>
      </c>
      <c r="E553">
        <v>31</v>
      </c>
      <c r="F553" t="e">
        <f>Tabela1[[#This Row],[Total de jovens na turma ]]*3</f>
        <v>#N/A</v>
      </c>
      <c r="G553" s="37" t="e">
        <f t="shared" si="18"/>
        <v>#N/A</v>
      </c>
      <c r="H553" s="24">
        <v>6</v>
      </c>
    </row>
    <row r="554" spans="1:8" hidden="1">
      <c r="A554" s="32"/>
      <c r="B554" s="32"/>
      <c r="C554" s="33" t="e">
        <f t="shared" si="17"/>
        <v>#N/A</v>
      </c>
      <c r="D554" s="19">
        <v>202500357</v>
      </c>
      <c r="E554">
        <v>31</v>
      </c>
      <c r="F554" t="e">
        <f>Tabela1[[#This Row],[Total de jovens na turma ]]*3</f>
        <v>#N/A</v>
      </c>
      <c r="G554" s="37" t="e">
        <f t="shared" si="18"/>
        <v>#N/A</v>
      </c>
      <c r="H554" s="24">
        <v>6</v>
      </c>
    </row>
    <row r="555" spans="1:8" hidden="1">
      <c r="A555" s="32"/>
      <c r="B555" s="32"/>
      <c r="C555" s="33" t="e">
        <f t="shared" si="17"/>
        <v>#N/A</v>
      </c>
      <c r="D555" s="18">
        <v>202500357</v>
      </c>
      <c r="E555">
        <v>31</v>
      </c>
      <c r="F555" t="e">
        <f>Tabela1[[#This Row],[Total de jovens na turma ]]*3</f>
        <v>#N/A</v>
      </c>
      <c r="G555" s="37" t="e">
        <f t="shared" si="18"/>
        <v>#N/A</v>
      </c>
      <c r="H555" s="24">
        <v>6</v>
      </c>
    </row>
    <row r="556" spans="1:8" hidden="1">
      <c r="A556" s="32"/>
      <c r="B556" s="32"/>
      <c r="C556" s="33" t="e">
        <f t="shared" si="17"/>
        <v>#N/A</v>
      </c>
      <c r="D556" s="19">
        <v>202500357</v>
      </c>
      <c r="E556">
        <v>31</v>
      </c>
      <c r="F556" t="e">
        <f>Tabela1[[#This Row],[Total de jovens na turma ]]*3</f>
        <v>#N/A</v>
      </c>
      <c r="G556" s="37" t="e">
        <f t="shared" si="18"/>
        <v>#N/A</v>
      </c>
      <c r="H556" s="24">
        <v>6</v>
      </c>
    </row>
    <row r="557" spans="1:8" hidden="1">
      <c r="A557" s="32"/>
      <c r="B557" s="32"/>
      <c r="C557" s="33" t="e">
        <f t="shared" si="17"/>
        <v>#N/A</v>
      </c>
      <c r="D557" s="18">
        <v>202500357</v>
      </c>
      <c r="E557">
        <v>31</v>
      </c>
      <c r="F557" t="e">
        <f>Tabela1[[#This Row],[Total de jovens na turma ]]*3</f>
        <v>#N/A</v>
      </c>
      <c r="G557" s="37" t="e">
        <f t="shared" si="18"/>
        <v>#N/A</v>
      </c>
      <c r="H557" s="24">
        <v>6</v>
      </c>
    </row>
    <row r="558" spans="1:8" hidden="1">
      <c r="A558" s="32"/>
      <c r="B558" s="32"/>
      <c r="C558" s="33" t="e">
        <f t="shared" si="17"/>
        <v>#N/A</v>
      </c>
      <c r="D558" s="19">
        <v>202500357</v>
      </c>
      <c r="E558">
        <v>31</v>
      </c>
      <c r="F558" t="e">
        <f>Tabela1[[#This Row],[Total de jovens na turma ]]*3</f>
        <v>#N/A</v>
      </c>
      <c r="G558" s="37" t="e">
        <f t="shared" si="18"/>
        <v>#N/A</v>
      </c>
      <c r="H558" s="24">
        <v>6</v>
      </c>
    </row>
    <row r="559" spans="1:8" hidden="1">
      <c r="A559" s="32"/>
      <c r="B559" s="32"/>
      <c r="C559" s="33" t="e">
        <f t="shared" si="17"/>
        <v>#N/A</v>
      </c>
      <c r="D559" s="18">
        <v>202500357</v>
      </c>
      <c r="E559">
        <v>31</v>
      </c>
      <c r="F559" t="e">
        <f>Tabela1[[#This Row],[Total de jovens na turma ]]*3</f>
        <v>#N/A</v>
      </c>
      <c r="G559" s="37" t="e">
        <f t="shared" si="18"/>
        <v>#N/A</v>
      </c>
      <c r="H559" s="24">
        <v>6</v>
      </c>
    </row>
    <row r="560" spans="1:8" hidden="1">
      <c r="A560" s="32"/>
      <c r="B560" s="32"/>
      <c r="C560" s="33" t="e">
        <f t="shared" si="17"/>
        <v>#N/A</v>
      </c>
      <c r="D560" s="19">
        <v>202500357</v>
      </c>
      <c r="E560">
        <v>31</v>
      </c>
      <c r="F560" t="e">
        <f>Tabela1[[#This Row],[Total de jovens na turma ]]*3</f>
        <v>#N/A</v>
      </c>
      <c r="G560" s="37" t="e">
        <f t="shared" si="18"/>
        <v>#N/A</v>
      </c>
      <c r="H560" s="24">
        <v>6</v>
      </c>
    </row>
    <row r="561" spans="1:8" hidden="1">
      <c r="A561" s="32"/>
      <c r="B561" s="32"/>
      <c r="C561" s="33" t="e">
        <f t="shared" si="17"/>
        <v>#N/A</v>
      </c>
      <c r="D561" s="18">
        <v>202500357</v>
      </c>
      <c r="E561">
        <v>31</v>
      </c>
      <c r="F561" t="e">
        <f>Tabela1[[#This Row],[Total de jovens na turma ]]*3</f>
        <v>#N/A</v>
      </c>
      <c r="G561" s="37" t="e">
        <f t="shared" si="18"/>
        <v>#N/A</v>
      </c>
      <c r="H561" s="24">
        <v>6</v>
      </c>
    </row>
    <row r="562" spans="1:8" hidden="1">
      <c r="A562" s="32"/>
      <c r="B562" s="32"/>
      <c r="C562" s="33" t="e">
        <f t="shared" si="17"/>
        <v>#N/A</v>
      </c>
      <c r="D562" s="19">
        <v>202500357</v>
      </c>
      <c r="E562">
        <v>31</v>
      </c>
      <c r="F562" t="e">
        <f>Tabela1[[#This Row],[Total de jovens na turma ]]*3</f>
        <v>#N/A</v>
      </c>
      <c r="G562" s="37" t="e">
        <f t="shared" si="18"/>
        <v>#N/A</v>
      </c>
      <c r="H562" s="24">
        <v>6</v>
      </c>
    </row>
    <row r="563" spans="1:8" hidden="1">
      <c r="A563" s="32"/>
      <c r="B563" s="32"/>
      <c r="C563" s="33" t="e">
        <f t="shared" si="17"/>
        <v>#N/A</v>
      </c>
      <c r="D563" s="18">
        <v>202500357</v>
      </c>
      <c r="E563">
        <v>31</v>
      </c>
      <c r="F563" t="e">
        <f>Tabela1[[#This Row],[Total de jovens na turma ]]*3</f>
        <v>#N/A</v>
      </c>
      <c r="G563" s="37" t="e">
        <f t="shared" si="18"/>
        <v>#N/A</v>
      </c>
      <c r="H563" s="24">
        <v>6</v>
      </c>
    </row>
    <row r="564" spans="1:8" hidden="1">
      <c r="A564" s="32"/>
      <c r="B564" s="32"/>
      <c r="C564" s="33" t="e">
        <f t="shared" si="17"/>
        <v>#N/A</v>
      </c>
      <c r="D564" s="19">
        <v>202500357</v>
      </c>
      <c r="E564">
        <v>31</v>
      </c>
      <c r="F564" t="e">
        <f>Tabela1[[#This Row],[Total de jovens na turma ]]*3</f>
        <v>#N/A</v>
      </c>
      <c r="G564" s="37" t="e">
        <f t="shared" si="18"/>
        <v>#N/A</v>
      </c>
      <c r="H564" s="24">
        <v>6</v>
      </c>
    </row>
    <row r="565" spans="1:8" hidden="1">
      <c r="A565" s="32"/>
      <c r="B565" s="32"/>
      <c r="C565" s="33" t="e">
        <f t="shared" si="17"/>
        <v>#N/A</v>
      </c>
      <c r="D565" s="18">
        <v>202500357</v>
      </c>
      <c r="E565">
        <v>31</v>
      </c>
      <c r="F565" t="e">
        <f>Tabela1[[#This Row],[Total de jovens na turma ]]*3</f>
        <v>#N/A</v>
      </c>
      <c r="G565" s="37" t="e">
        <f t="shared" si="18"/>
        <v>#N/A</v>
      </c>
      <c r="H565" s="24">
        <v>6</v>
      </c>
    </row>
    <row r="566" spans="1:8" hidden="1">
      <c r="A566" s="32"/>
      <c r="B566" s="32"/>
      <c r="C566" s="33" t="e">
        <f t="shared" si="17"/>
        <v>#N/A</v>
      </c>
      <c r="D566" s="19">
        <v>202500357</v>
      </c>
      <c r="E566">
        <v>31</v>
      </c>
      <c r="F566" t="e">
        <f>Tabela1[[#This Row],[Total de jovens na turma ]]*3</f>
        <v>#N/A</v>
      </c>
      <c r="G566" s="37" t="e">
        <f t="shared" si="18"/>
        <v>#N/A</v>
      </c>
      <c r="H566" s="24">
        <v>6</v>
      </c>
    </row>
    <row r="567" spans="1:8" hidden="1">
      <c r="A567" s="32"/>
      <c r="B567" s="32"/>
      <c r="C567" s="33" t="e">
        <f t="shared" si="17"/>
        <v>#N/A</v>
      </c>
      <c r="D567" s="18">
        <v>202500357</v>
      </c>
      <c r="E567">
        <v>31</v>
      </c>
      <c r="F567" t="e">
        <f>Tabela1[[#This Row],[Total de jovens na turma ]]*3</f>
        <v>#N/A</v>
      </c>
      <c r="G567" s="37" t="e">
        <f t="shared" si="18"/>
        <v>#N/A</v>
      </c>
      <c r="H567" s="24">
        <v>6</v>
      </c>
    </row>
    <row r="568" spans="1:8" hidden="1">
      <c r="A568" s="32"/>
      <c r="B568" s="32"/>
      <c r="C568" s="33" t="e">
        <f t="shared" si="17"/>
        <v>#N/A</v>
      </c>
      <c r="D568" s="19">
        <v>202500357</v>
      </c>
      <c r="E568">
        <v>31</v>
      </c>
      <c r="F568" t="e">
        <f>Tabela1[[#This Row],[Total de jovens na turma ]]*3</f>
        <v>#N/A</v>
      </c>
      <c r="G568" s="37" t="e">
        <f t="shared" si="18"/>
        <v>#N/A</v>
      </c>
      <c r="H568" s="24">
        <v>6</v>
      </c>
    </row>
    <row r="569" spans="1:8" hidden="1">
      <c r="A569" s="32"/>
      <c r="B569" s="32"/>
      <c r="C569" s="33" t="e">
        <f t="shared" si="17"/>
        <v>#N/A</v>
      </c>
      <c r="D569" s="18">
        <v>202500357</v>
      </c>
      <c r="E569">
        <v>31</v>
      </c>
      <c r="F569" t="e">
        <f>Tabela1[[#This Row],[Total de jovens na turma ]]*3</f>
        <v>#N/A</v>
      </c>
      <c r="G569" s="37" t="e">
        <f t="shared" si="18"/>
        <v>#N/A</v>
      </c>
      <c r="H569" s="24">
        <v>6</v>
      </c>
    </row>
    <row r="570" spans="1:8" hidden="1">
      <c r="A570" s="32"/>
      <c r="B570" s="32"/>
      <c r="C570" s="33" t="e">
        <f t="shared" si="17"/>
        <v>#N/A</v>
      </c>
      <c r="D570" s="19">
        <v>202500357</v>
      </c>
      <c r="E570">
        <v>31</v>
      </c>
      <c r="F570" t="e">
        <f>Tabela1[[#This Row],[Total de jovens na turma ]]*3</f>
        <v>#N/A</v>
      </c>
      <c r="G570" s="37" t="e">
        <f t="shared" si="18"/>
        <v>#N/A</v>
      </c>
      <c r="H570" s="24">
        <v>6</v>
      </c>
    </row>
    <row r="571" spans="1:8" hidden="1">
      <c r="A571" s="32"/>
      <c r="B571" s="32"/>
      <c r="C571" s="33" t="e">
        <f t="shared" si="17"/>
        <v>#N/A</v>
      </c>
      <c r="D571" s="18">
        <v>202500357</v>
      </c>
      <c r="E571">
        <v>31</v>
      </c>
      <c r="F571" t="e">
        <f>Tabela1[[#This Row],[Total de jovens na turma ]]*3</f>
        <v>#N/A</v>
      </c>
      <c r="G571" s="37" t="e">
        <f t="shared" si="18"/>
        <v>#N/A</v>
      </c>
      <c r="H571" s="24">
        <v>6</v>
      </c>
    </row>
    <row r="572" spans="1:8" hidden="1">
      <c r="A572" s="32"/>
      <c r="B572" s="32"/>
      <c r="C572" s="33" t="e">
        <f t="shared" si="17"/>
        <v>#N/A</v>
      </c>
      <c r="D572" s="19">
        <v>202500357</v>
      </c>
      <c r="E572">
        <v>31</v>
      </c>
      <c r="F572" t="e">
        <f>Tabela1[[#This Row],[Total de jovens na turma ]]*3</f>
        <v>#N/A</v>
      </c>
      <c r="G572" s="37" t="e">
        <f t="shared" si="18"/>
        <v>#N/A</v>
      </c>
      <c r="H572" s="24">
        <v>6</v>
      </c>
    </row>
    <row r="573" spans="1:8" hidden="1">
      <c r="A573" s="32"/>
      <c r="B573" s="32"/>
      <c r="C573" s="33" t="e">
        <f t="shared" si="17"/>
        <v>#N/A</v>
      </c>
      <c r="D573" s="18">
        <v>202500357</v>
      </c>
      <c r="E573">
        <v>31</v>
      </c>
      <c r="F573" t="e">
        <f>Tabela1[[#This Row],[Total de jovens na turma ]]*3</f>
        <v>#N/A</v>
      </c>
      <c r="G573" s="37" t="e">
        <f t="shared" si="18"/>
        <v>#N/A</v>
      </c>
      <c r="H573" s="24">
        <v>6</v>
      </c>
    </row>
    <row r="574" spans="1:8" hidden="1">
      <c r="A574" s="32"/>
      <c r="B574" s="32"/>
      <c r="C574" s="33" t="e">
        <f t="shared" si="17"/>
        <v>#N/A</v>
      </c>
      <c r="D574" s="19">
        <v>202500357</v>
      </c>
      <c r="E574">
        <v>31</v>
      </c>
      <c r="F574" t="e">
        <f>Tabela1[[#This Row],[Total de jovens na turma ]]*3</f>
        <v>#N/A</v>
      </c>
      <c r="G574" s="37" t="e">
        <f t="shared" si="18"/>
        <v>#N/A</v>
      </c>
      <c r="H574" s="24">
        <v>6</v>
      </c>
    </row>
    <row r="575" spans="1:8" hidden="1">
      <c r="A575" s="32"/>
      <c r="B575" s="32"/>
      <c r="C575" s="33" t="e">
        <f t="shared" si="17"/>
        <v>#N/A</v>
      </c>
      <c r="D575" s="18">
        <v>202500357</v>
      </c>
      <c r="E575">
        <v>31</v>
      </c>
      <c r="F575" t="e">
        <f>Tabela1[[#This Row],[Total de jovens na turma ]]*3</f>
        <v>#N/A</v>
      </c>
      <c r="G575" s="37" t="e">
        <f t="shared" si="18"/>
        <v>#N/A</v>
      </c>
      <c r="H575" s="24">
        <v>6</v>
      </c>
    </row>
    <row r="576" spans="1:8" hidden="1">
      <c r="A576" s="32"/>
      <c r="B576" s="32"/>
      <c r="C576" s="33" t="e">
        <f t="shared" si="17"/>
        <v>#N/A</v>
      </c>
      <c r="D576" s="19">
        <v>202500357</v>
      </c>
      <c r="E576">
        <v>31</v>
      </c>
      <c r="F576" t="e">
        <f>Tabela1[[#This Row],[Total de jovens na turma ]]*3</f>
        <v>#N/A</v>
      </c>
      <c r="G576" s="37" t="e">
        <f t="shared" si="18"/>
        <v>#N/A</v>
      </c>
      <c r="H576" s="24">
        <v>6</v>
      </c>
    </row>
    <row r="577" spans="1:8" hidden="1">
      <c r="A577" s="32"/>
      <c r="B577" s="32"/>
      <c r="C577" s="33" t="e">
        <f t="shared" si="17"/>
        <v>#N/A</v>
      </c>
      <c r="D577" s="18">
        <v>202500357</v>
      </c>
      <c r="E577">
        <v>31</v>
      </c>
      <c r="F577" t="e">
        <f>Tabela1[[#This Row],[Total de jovens na turma ]]*3</f>
        <v>#N/A</v>
      </c>
      <c r="G577" s="37" t="e">
        <f t="shared" si="18"/>
        <v>#N/A</v>
      </c>
      <c r="H577" s="24">
        <v>6</v>
      </c>
    </row>
    <row r="578" spans="1:8" hidden="1">
      <c r="A578" s="32"/>
      <c r="B578" s="32"/>
      <c r="C578" s="33" t="e">
        <f t="shared" si="17"/>
        <v>#N/A</v>
      </c>
      <c r="D578" s="19">
        <v>202500358</v>
      </c>
      <c r="E578">
        <v>30</v>
      </c>
      <c r="F578" t="e">
        <f>Tabela1[[#This Row],[Total de jovens na turma ]]*3</f>
        <v>#N/A</v>
      </c>
      <c r="G578" s="37" t="e">
        <f t="shared" si="18"/>
        <v>#N/A</v>
      </c>
      <c r="H578" s="24">
        <v>6</v>
      </c>
    </row>
    <row r="579" spans="1:8" hidden="1">
      <c r="A579" s="32"/>
      <c r="B579" s="32"/>
      <c r="C579" s="33" t="e">
        <f t="shared" si="17"/>
        <v>#N/A</v>
      </c>
      <c r="D579" s="18">
        <v>202500358</v>
      </c>
      <c r="E579">
        <v>30</v>
      </c>
      <c r="F579" t="e">
        <f>Tabela1[[#This Row],[Total de jovens na turma ]]*3</f>
        <v>#N/A</v>
      </c>
      <c r="G579" s="37" t="e">
        <f t="shared" si="18"/>
        <v>#N/A</v>
      </c>
      <c r="H579" s="24">
        <v>6</v>
      </c>
    </row>
    <row r="580" spans="1:8" hidden="1">
      <c r="A580" s="32"/>
      <c r="B580" s="32"/>
      <c r="C580" s="33" t="e">
        <f t="shared" si="17"/>
        <v>#N/A</v>
      </c>
      <c r="D580" s="19">
        <v>202500358</v>
      </c>
      <c r="E580">
        <v>30</v>
      </c>
      <c r="F580" t="e">
        <f>Tabela1[[#This Row],[Total de jovens na turma ]]*3</f>
        <v>#N/A</v>
      </c>
      <c r="G580" s="37" t="e">
        <f t="shared" si="18"/>
        <v>#N/A</v>
      </c>
      <c r="H580" s="24">
        <v>6</v>
      </c>
    </row>
    <row r="581" spans="1:8" hidden="1">
      <c r="A581" s="32"/>
      <c r="B581" s="32"/>
      <c r="C581" s="33" t="e">
        <f t="shared" ref="C581:C644" si="19">VLOOKUP(A581,D:E,2,0)</f>
        <v>#N/A</v>
      </c>
      <c r="D581" s="18">
        <v>202500358</v>
      </c>
      <c r="E581">
        <v>30</v>
      </c>
      <c r="F581" t="e">
        <f>Tabela1[[#This Row],[Total de jovens na turma ]]*3</f>
        <v>#N/A</v>
      </c>
      <c r="G581" s="37" t="e">
        <f t="shared" si="18"/>
        <v>#N/A</v>
      </c>
      <c r="H581" s="24">
        <v>6</v>
      </c>
    </row>
    <row r="582" spans="1:8" hidden="1">
      <c r="A582" s="32"/>
      <c r="B582" s="32"/>
      <c r="C582" s="33" t="e">
        <f t="shared" si="19"/>
        <v>#N/A</v>
      </c>
      <c r="D582" s="19">
        <v>202500358</v>
      </c>
      <c r="E582">
        <v>30</v>
      </c>
      <c r="F582" t="e">
        <f>Tabela1[[#This Row],[Total de jovens na turma ]]*3</f>
        <v>#N/A</v>
      </c>
      <c r="G582" s="37" t="e">
        <f t="shared" si="18"/>
        <v>#N/A</v>
      </c>
      <c r="H582" s="24">
        <v>6</v>
      </c>
    </row>
    <row r="583" spans="1:8" hidden="1">
      <c r="A583" s="32"/>
      <c r="B583" s="32"/>
      <c r="C583" s="33" t="e">
        <f t="shared" si="19"/>
        <v>#N/A</v>
      </c>
      <c r="D583" s="18">
        <v>202500358</v>
      </c>
      <c r="E583">
        <v>30</v>
      </c>
      <c r="F583" t="e">
        <f>Tabela1[[#This Row],[Total de jovens na turma ]]*3</f>
        <v>#N/A</v>
      </c>
      <c r="G583" s="37" t="e">
        <f t="shared" ref="G583:G646" si="20">F583/24</f>
        <v>#N/A</v>
      </c>
      <c r="H583" s="24">
        <v>6</v>
      </c>
    </row>
    <row r="584" spans="1:8" hidden="1">
      <c r="A584" s="32"/>
      <c r="B584" s="32"/>
      <c r="C584" s="33" t="e">
        <f t="shared" si="19"/>
        <v>#N/A</v>
      </c>
      <c r="D584" s="19">
        <v>202500358</v>
      </c>
      <c r="E584">
        <v>30</v>
      </c>
      <c r="F584" t="e">
        <f>Tabela1[[#This Row],[Total de jovens na turma ]]*3</f>
        <v>#N/A</v>
      </c>
      <c r="G584" s="37" t="e">
        <f t="shared" si="20"/>
        <v>#N/A</v>
      </c>
      <c r="H584" s="24">
        <v>6</v>
      </c>
    </row>
    <row r="585" spans="1:8" hidden="1">
      <c r="A585" s="32"/>
      <c r="B585" s="32"/>
      <c r="C585" s="33" t="e">
        <f t="shared" si="19"/>
        <v>#N/A</v>
      </c>
      <c r="D585" s="18">
        <v>202500358</v>
      </c>
      <c r="E585">
        <v>30</v>
      </c>
      <c r="F585" t="e">
        <f>Tabela1[[#This Row],[Total de jovens na turma ]]*3</f>
        <v>#N/A</v>
      </c>
      <c r="G585" s="37" t="e">
        <f t="shared" si="20"/>
        <v>#N/A</v>
      </c>
      <c r="H585" s="24">
        <v>6</v>
      </c>
    </row>
    <row r="586" spans="1:8" hidden="1">
      <c r="A586" s="32"/>
      <c r="B586" s="32"/>
      <c r="C586" s="33" t="e">
        <f t="shared" si="19"/>
        <v>#N/A</v>
      </c>
      <c r="D586" s="19">
        <v>202500358</v>
      </c>
      <c r="E586">
        <v>30</v>
      </c>
      <c r="F586" t="e">
        <f>Tabela1[[#This Row],[Total de jovens na turma ]]*3</f>
        <v>#N/A</v>
      </c>
      <c r="G586" s="37" t="e">
        <f t="shared" si="20"/>
        <v>#N/A</v>
      </c>
      <c r="H586" s="24">
        <v>6</v>
      </c>
    </row>
    <row r="587" spans="1:8" hidden="1">
      <c r="A587" s="32"/>
      <c r="B587" s="32"/>
      <c r="C587" s="33" t="e">
        <f t="shared" si="19"/>
        <v>#N/A</v>
      </c>
      <c r="D587" s="18">
        <v>202500358</v>
      </c>
      <c r="E587">
        <v>30</v>
      </c>
      <c r="F587" t="e">
        <f>Tabela1[[#This Row],[Total de jovens na turma ]]*3</f>
        <v>#N/A</v>
      </c>
      <c r="G587" s="37" t="e">
        <f t="shared" si="20"/>
        <v>#N/A</v>
      </c>
      <c r="H587" s="24">
        <v>6</v>
      </c>
    </row>
    <row r="588" spans="1:8" hidden="1">
      <c r="A588" s="32"/>
      <c r="B588" s="32"/>
      <c r="C588" s="33" t="e">
        <f t="shared" si="19"/>
        <v>#N/A</v>
      </c>
      <c r="D588" s="19">
        <v>202500358</v>
      </c>
      <c r="E588">
        <v>30</v>
      </c>
      <c r="F588" t="e">
        <f>Tabela1[[#This Row],[Total de jovens na turma ]]*3</f>
        <v>#N/A</v>
      </c>
      <c r="G588" s="37" t="e">
        <f t="shared" si="20"/>
        <v>#N/A</v>
      </c>
      <c r="H588" s="24">
        <v>6</v>
      </c>
    </row>
    <row r="589" spans="1:8" hidden="1">
      <c r="A589" s="32"/>
      <c r="B589" s="32"/>
      <c r="C589" s="33" t="e">
        <f t="shared" si="19"/>
        <v>#N/A</v>
      </c>
      <c r="D589" s="18">
        <v>202500358</v>
      </c>
      <c r="E589">
        <v>30</v>
      </c>
      <c r="F589" t="e">
        <f>Tabela1[[#This Row],[Total de jovens na turma ]]*3</f>
        <v>#N/A</v>
      </c>
      <c r="G589" s="37" t="e">
        <f t="shared" si="20"/>
        <v>#N/A</v>
      </c>
      <c r="H589" s="24">
        <v>6</v>
      </c>
    </row>
    <row r="590" spans="1:8" hidden="1">
      <c r="A590" s="32"/>
      <c r="B590" s="32"/>
      <c r="C590" s="33" t="e">
        <f t="shared" si="19"/>
        <v>#N/A</v>
      </c>
      <c r="D590" s="19">
        <v>202500358</v>
      </c>
      <c r="E590">
        <v>30</v>
      </c>
      <c r="F590" t="e">
        <f>Tabela1[[#This Row],[Total de jovens na turma ]]*3</f>
        <v>#N/A</v>
      </c>
      <c r="G590" s="37" t="e">
        <f t="shared" si="20"/>
        <v>#N/A</v>
      </c>
      <c r="H590" s="24">
        <v>6</v>
      </c>
    </row>
    <row r="591" spans="1:8" hidden="1">
      <c r="A591" s="32"/>
      <c r="B591" s="32"/>
      <c r="C591" s="33" t="e">
        <f t="shared" si="19"/>
        <v>#N/A</v>
      </c>
      <c r="D591" s="18">
        <v>202500358</v>
      </c>
      <c r="E591">
        <v>30</v>
      </c>
      <c r="F591" t="e">
        <f>Tabela1[[#This Row],[Total de jovens na turma ]]*3</f>
        <v>#N/A</v>
      </c>
      <c r="G591" s="37" t="e">
        <f t="shared" si="20"/>
        <v>#N/A</v>
      </c>
      <c r="H591" s="24">
        <v>6</v>
      </c>
    </row>
    <row r="592" spans="1:8" hidden="1">
      <c r="A592" s="32"/>
      <c r="B592" s="32"/>
      <c r="C592" s="33" t="e">
        <f t="shared" si="19"/>
        <v>#N/A</v>
      </c>
      <c r="D592" s="19">
        <v>202500358</v>
      </c>
      <c r="E592">
        <v>30</v>
      </c>
      <c r="F592" t="e">
        <f>Tabela1[[#This Row],[Total de jovens na turma ]]*3</f>
        <v>#N/A</v>
      </c>
      <c r="G592" s="37" t="e">
        <f t="shared" si="20"/>
        <v>#N/A</v>
      </c>
      <c r="H592" s="24">
        <v>6</v>
      </c>
    </row>
    <row r="593" spans="1:8" hidden="1">
      <c r="A593" s="32"/>
      <c r="B593" s="32"/>
      <c r="C593" s="33" t="e">
        <f t="shared" si="19"/>
        <v>#N/A</v>
      </c>
      <c r="D593" s="18">
        <v>202500358</v>
      </c>
      <c r="E593">
        <v>30</v>
      </c>
      <c r="F593" t="e">
        <f>Tabela1[[#This Row],[Total de jovens na turma ]]*3</f>
        <v>#N/A</v>
      </c>
      <c r="G593" s="37" t="e">
        <f t="shared" si="20"/>
        <v>#N/A</v>
      </c>
      <c r="H593" s="24">
        <v>6</v>
      </c>
    </row>
    <row r="594" spans="1:8" hidden="1">
      <c r="A594" s="32"/>
      <c r="B594" s="32"/>
      <c r="C594" s="33" t="e">
        <f t="shared" si="19"/>
        <v>#N/A</v>
      </c>
      <c r="D594" s="19">
        <v>202500358</v>
      </c>
      <c r="E594">
        <v>30</v>
      </c>
      <c r="F594" t="e">
        <f>Tabela1[[#This Row],[Total de jovens na turma ]]*3</f>
        <v>#N/A</v>
      </c>
      <c r="G594" s="37" t="e">
        <f t="shared" si="20"/>
        <v>#N/A</v>
      </c>
      <c r="H594" s="24">
        <v>6</v>
      </c>
    </row>
    <row r="595" spans="1:8" hidden="1">
      <c r="A595" s="32"/>
      <c r="B595" s="32"/>
      <c r="C595" s="33" t="e">
        <f t="shared" si="19"/>
        <v>#N/A</v>
      </c>
      <c r="D595" s="18">
        <v>202500358</v>
      </c>
      <c r="E595">
        <v>30</v>
      </c>
      <c r="F595" t="e">
        <f>Tabela1[[#This Row],[Total de jovens na turma ]]*3</f>
        <v>#N/A</v>
      </c>
      <c r="G595" s="37" t="e">
        <f t="shared" si="20"/>
        <v>#N/A</v>
      </c>
      <c r="H595" s="24">
        <v>6</v>
      </c>
    </row>
    <row r="596" spans="1:8" hidden="1">
      <c r="A596" s="32"/>
      <c r="B596" s="32"/>
      <c r="C596" s="33" t="e">
        <f t="shared" si="19"/>
        <v>#N/A</v>
      </c>
      <c r="D596" s="19">
        <v>202500358</v>
      </c>
      <c r="E596">
        <v>30</v>
      </c>
      <c r="F596" t="e">
        <f>Tabela1[[#This Row],[Total de jovens na turma ]]*3</f>
        <v>#N/A</v>
      </c>
      <c r="G596" s="37" t="e">
        <f t="shared" si="20"/>
        <v>#N/A</v>
      </c>
      <c r="H596" s="24">
        <v>6</v>
      </c>
    </row>
    <row r="597" spans="1:8" hidden="1">
      <c r="A597" s="32"/>
      <c r="B597" s="32"/>
      <c r="C597" s="33" t="e">
        <f t="shared" si="19"/>
        <v>#N/A</v>
      </c>
      <c r="D597" s="18">
        <v>202500358</v>
      </c>
      <c r="E597">
        <v>30</v>
      </c>
      <c r="F597" t="e">
        <f>Tabela1[[#This Row],[Total de jovens na turma ]]*3</f>
        <v>#N/A</v>
      </c>
      <c r="G597" s="37" t="e">
        <f t="shared" si="20"/>
        <v>#N/A</v>
      </c>
      <c r="H597" s="24">
        <v>6</v>
      </c>
    </row>
    <row r="598" spans="1:8" hidden="1">
      <c r="A598" s="32"/>
      <c r="B598" s="32"/>
      <c r="C598" s="33" t="e">
        <f t="shared" si="19"/>
        <v>#N/A</v>
      </c>
      <c r="D598" s="19">
        <v>202500358</v>
      </c>
      <c r="E598">
        <v>30</v>
      </c>
      <c r="F598" t="e">
        <f>Tabela1[[#This Row],[Total de jovens na turma ]]*3</f>
        <v>#N/A</v>
      </c>
      <c r="G598" s="37" t="e">
        <f t="shared" si="20"/>
        <v>#N/A</v>
      </c>
      <c r="H598" s="24">
        <v>6</v>
      </c>
    </row>
    <row r="599" spans="1:8" hidden="1">
      <c r="A599" s="32"/>
      <c r="B599" s="32"/>
      <c r="C599" s="33" t="e">
        <f t="shared" si="19"/>
        <v>#N/A</v>
      </c>
      <c r="D599" s="18">
        <v>202500358</v>
      </c>
      <c r="E599">
        <v>30</v>
      </c>
      <c r="F599" t="e">
        <f>Tabela1[[#This Row],[Total de jovens na turma ]]*3</f>
        <v>#N/A</v>
      </c>
      <c r="G599" s="37" t="e">
        <f t="shared" si="20"/>
        <v>#N/A</v>
      </c>
      <c r="H599" s="24">
        <v>6</v>
      </c>
    </row>
    <row r="600" spans="1:8" hidden="1">
      <c r="A600" s="32"/>
      <c r="B600" s="32"/>
      <c r="C600" s="33" t="e">
        <f t="shared" si="19"/>
        <v>#N/A</v>
      </c>
      <c r="D600" s="19">
        <v>202500358</v>
      </c>
      <c r="E600">
        <v>30</v>
      </c>
      <c r="F600" t="e">
        <f>Tabela1[[#This Row],[Total de jovens na turma ]]*3</f>
        <v>#N/A</v>
      </c>
      <c r="G600" s="37" t="e">
        <f t="shared" si="20"/>
        <v>#N/A</v>
      </c>
      <c r="H600" s="24">
        <v>6</v>
      </c>
    </row>
    <row r="601" spans="1:8" hidden="1">
      <c r="A601" s="32"/>
      <c r="B601" s="32"/>
      <c r="C601" s="33" t="e">
        <f t="shared" si="19"/>
        <v>#N/A</v>
      </c>
      <c r="D601" s="18">
        <v>202500358</v>
      </c>
      <c r="E601">
        <v>30</v>
      </c>
      <c r="F601" t="e">
        <f>Tabela1[[#This Row],[Total de jovens na turma ]]*3</f>
        <v>#N/A</v>
      </c>
      <c r="G601" s="37" t="e">
        <f t="shared" si="20"/>
        <v>#N/A</v>
      </c>
      <c r="H601" s="24">
        <v>6</v>
      </c>
    </row>
    <row r="602" spans="1:8" hidden="1">
      <c r="A602" s="32"/>
      <c r="B602" s="32"/>
      <c r="C602" s="33" t="e">
        <f t="shared" si="19"/>
        <v>#N/A</v>
      </c>
      <c r="D602" s="19">
        <v>202500358</v>
      </c>
      <c r="E602">
        <v>30</v>
      </c>
      <c r="F602" t="e">
        <f>Tabela1[[#This Row],[Total de jovens na turma ]]*3</f>
        <v>#N/A</v>
      </c>
      <c r="G602" s="37" t="e">
        <f t="shared" si="20"/>
        <v>#N/A</v>
      </c>
      <c r="H602" s="24">
        <v>6</v>
      </c>
    </row>
    <row r="603" spans="1:8" hidden="1">
      <c r="A603" s="32"/>
      <c r="B603" s="32"/>
      <c r="C603" s="33" t="e">
        <f t="shared" si="19"/>
        <v>#N/A</v>
      </c>
      <c r="D603" s="18">
        <v>202500358</v>
      </c>
      <c r="E603">
        <v>30</v>
      </c>
      <c r="F603" t="e">
        <f>Tabela1[[#This Row],[Total de jovens na turma ]]*3</f>
        <v>#N/A</v>
      </c>
      <c r="G603" s="37" t="e">
        <f t="shared" si="20"/>
        <v>#N/A</v>
      </c>
      <c r="H603" s="24">
        <v>6</v>
      </c>
    </row>
    <row r="604" spans="1:8" hidden="1">
      <c r="A604" s="32"/>
      <c r="B604" s="32"/>
      <c r="C604" s="33" t="e">
        <f t="shared" si="19"/>
        <v>#N/A</v>
      </c>
      <c r="D604" s="19">
        <v>202500358</v>
      </c>
      <c r="E604">
        <v>30</v>
      </c>
      <c r="F604" t="e">
        <f>Tabela1[[#This Row],[Total de jovens na turma ]]*3</f>
        <v>#N/A</v>
      </c>
      <c r="G604" s="37" t="e">
        <f t="shared" si="20"/>
        <v>#N/A</v>
      </c>
      <c r="H604" s="24">
        <v>6</v>
      </c>
    </row>
    <row r="605" spans="1:8" hidden="1">
      <c r="A605" s="32"/>
      <c r="B605" s="32"/>
      <c r="C605" s="33" t="e">
        <f t="shared" si="19"/>
        <v>#N/A</v>
      </c>
      <c r="D605" s="18">
        <v>202500358</v>
      </c>
      <c r="E605">
        <v>30</v>
      </c>
      <c r="F605" t="e">
        <f>Tabela1[[#This Row],[Total de jovens na turma ]]*3</f>
        <v>#N/A</v>
      </c>
      <c r="G605" s="37" t="e">
        <f t="shared" si="20"/>
        <v>#N/A</v>
      </c>
      <c r="H605" s="24">
        <v>6</v>
      </c>
    </row>
    <row r="606" spans="1:8" hidden="1">
      <c r="A606" s="32"/>
      <c r="B606" s="32"/>
      <c r="C606" s="33" t="e">
        <f t="shared" si="19"/>
        <v>#N/A</v>
      </c>
      <c r="D606" s="19">
        <v>202500358</v>
      </c>
      <c r="E606">
        <v>30</v>
      </c>
      <c r="F606" t="e">
        <f>Tabela1[[#This Row],[Total de jovens na turma ]]*3</f>
        <v>#N/A</v>
      </c>
      <c r="G606" s="37" t="e">
        <f t="shared" si="20"/>
        <v>#N/A</v>
      </c>
      <c r="H606" s="24">
        <v>6</v>
      </c>
    </row>
    <row r="607" spans="1:8" hidden="1">
      <c r="A607" s="32"/>
      <c r="B607" s="32"/>
      <c r="C607" s="33" t="e">
        <f t="shared" si="19"/>
        <v>#N/A</v>
      </c>
      <c r="D607" s="18">
        <v>202500358</v>
      </c>
      <c r="E607">
        <v>30</v>
      </c>
      <c r="F607" t="e">
        <f>Tabela1[[#This Row],[Total de jovens na turma ]]*3</f>
        <v>#N/A</v>
      </c>
      <c r="G607" s="37" t="e">
        <f t="shared" si="20"/>
        <v>#N/A</v>
      </c>
      <c r="H607" s="24">
        <v>6</v>
      </c>
    </row>
    <row r="608" spans="1:8" hidden="1">
      <c r="A608" s="32"/>
      <c r="B608" s="32"/>
      <c r="C608" s="33" t="e">
        <f t="shared" si="19"/>
        <v>#N/A</v>
      </c>
      <c r="D608" s="19">
        <v>202500132</v>
      </c>
      <c r="E608">
        <v>29</v>
      </c>
      <c r="F608" t="e">
        <f>Tabela1[[#This Row],[Total de jovens na turma ]]*3</f>
        <v>#N/A</v>
      </c>
      <c r="G608" s="37" t="e">
        <f t="shared" si="20"/>
        <v>#N/A</v>
      </c>
      <c r="H608" s="24">
        <v>6</v>
      </c>
    </row>
    <row r="609" spans="1:8" hidden="1">
      <c r="A609" s="32"/>
      <c r="B609" s="32"/>
      <c r="C609" s="33" t="e">
        <f t="shared" si="19"/>
        <v>#N/A</v>
      </c>
      <c r="D609" s="18">
        <v>202500132</v>
      </c>
      <c r="E609">
        <v>29</v>
      </c>
      <c r="F609" t="e">
        <f>Tabela1[[#This Row],[Total de jovens na turma ]]*3</f>
        <v>#N/A</v>
      </c>
      <c r="G609" s="37" t="e">
        <f t="shared" si="20"/>
        <v>#N/A</v>
      </c>
      <c r="H609" s="24">
        <v>6</v>
      </c>
    </row>
    <row r="610" spans="1:8" hidden="1">
      <c r="A610" s="32"/>
      <c r="B610" s="32"/>
      <c r="C610" s="33" t="e">
        <f t="shared" si="19"/>
        <v>#N/A</v>
      </c>
      <c r="D610" s="19">
        <v>202401100</v>
      </c>
      <c r="E610">
        <v>27</v>
      </c>
      <c r="F610" t="e">
        <f>Tabela1[[#This Row],[Total de jovens na turma ]]*3</f>
        <v>#N/A</v>
      </c>
      <c r="G610" s="37" t="e">
        <f t="shared" si="20"/>
        <v>#N/A</v>
      </c>
      <c r="H610" s="24">
        <v>6</v>
      </c>
    </row>
    <row r="611" spans="1:8" hidden="1">
      <c r="A611" s="32"/>
      <c r="B611" s="32"/>
      <c r="C611" s="33" t="e">
        <f t="shared" si="19"/>
        <v>#N/A</v>
      </c>
      <c r="D611" s="18">
        <v>202401100</v>
      </c>
      <c r="E611">
        <v>27</v>
      </c>
      <c r="F611" t="e">
        <f>Tabela1[[#This Row],[Total de jovens na turma ]]*3</f>
        <v>#N/A</v>
      </c>
      <c r="G611" s="37" t="e">
        <f t="shared" si="20"/>
        <v>#N/A</v>
      </c>
      <c r="H611" s="24">
        <v>6</v>
      </c>
    </row>
    <row r="612" spans="1:8" hidden="1">
      <c r="A612" s="32"/>
      <c r="B612" s="32"/>
      <c r="C612" s="33" t="e">
        <f t="shared" si="19"/>
        <v>#N/A</v>
      </c>
      <c r="D612" s="19">
        <v>202401100</v>
      </c>
      <c r="E612">
        <v>27</v>
      </c>
      <c r="F612" t="e">
        <f>Tabela1[[#This Row],[Total de jovens na turma ]]*3</f>
        <v>#N/A</v>
      </c>
      <c r="G612" s="37" t="e">
        <f t="shared" si="20"/>
        <v>#N/A</v>
      </c>
      <c r="H612" s="24">
        <v>6</v>
      </c>
    </row>
    <row r="613" spans="1:8" hidden="1">
      <c r="A613" s="32"/>
      <c r="B613" s="32"/>
      <c r="C613" s="33" t="e">
        <f t="shared" si="19"/>
        <v>#N/A</v>
      </c>
      <c r="D613" s="18">
        <v>202401100</v>
      </c>
      <c r="E613">
        <v>27</v>
      </c>
      <c r="F613" t="e">
        <f>Tabela1[[#This Row],[Total de jovens na turma ]]*3</f>
        <v>#N/A</v>
      </c>
      <c r="G613" s="37" t="e">
        <f t="shared" si="20"/>
        <v>#N/A</v>
      </c>
      <c r="H613" s="24">
        <v>6</v>
      </c>
    </row>
    <row r="614" spans="1:8" hidden="1">
      <c r="A614" s="32"/>
      <c r="B614" s="32"/>
      <c r="C614" s="33" t="e">
        <f t="shared" si="19"/>
        <v>#N/A</v>
      </c>
      <c r="D614" s="28">
        <v>202401100</v>
      </c>
      <c r="E614">
        <v>27</v>
      </c>
      <c r="F614" t="e">
        <f>Tabela1[[#This Row],[Total de jovens na turma ]]*3</f>
        <v>#N/A</v>
      </c>
      <c r="G614" s="37" t="e">
        <f t="shared" si="20"/>
        <v>#N/A</v>
      </c>
      <c r="H614" s="24">
        <v>6</v>
      </c>
    </row>
    <row r="615" spans="1:8" hidden="1">
      <c r="A615" s="32"/>
      <c r="B615" s="32"/>
      <c r="C615" s="33" t="e">
        <f t="shared" si="19"/>
        <v>#N/A</v>
      </c>
      <c r="D615" s="29">
        <v>202401100</v>
      </c>
      <c r="E615">
        <v>27</v>
      </c>
      <c r="F615" t="e">
        <f>Tabela1[[#This Row],[Total de jovens na turma ]]*3</f>
        <v>#N/A</v>
      </c>
      <c r="G615" s="37" t="e">
        <f t="shared" si="20"/>
        <v>#N/A</v>
      </c>
      <c r="H615" s="24">
        <v>6</v>
      </c>
    </row>
    <row r="616" spans="1:8" hidden="1">
      <c r="A616" s="32"/>
      <c r="B616" s="32"/>
      <c r="C616" s="33" t="e">
        <f t="shared" si="19"/>
        <v>#N/A</v>
      </c>
      <c r="D616" s="28">
        <v>202401100</v>
      </c>
      <c r="E616">
        <v>27</v>
      </c>
      <c r="F616" t="e">
        <f>Tabela1[[#This Row],[Total de jovens na turma ]]*3</f>
        <v>#N/A</v>
      </c>
      <c r="G616" s="37" t="e">
        <f t="shared" si="20"/>
        <v>#N/A</v>
      </c>
      <c r="H616" s="24">
        <v>6</v>
      </c>
    </row>
    <row r="617" spans="1:8" hidden="1">
      <c r="A617" s="32"/>
      <c r="B617" s="32"/>
      <c r="C617" s="33" t="e">
        <f t="shared" si="19"/>
        <v>#N/A</v>
      </c>
      <c r="D617" s="29">
        <v>202401100</v>
      </c>
      <c r="E617">
        <v>27</v>
      </c>
      <c r="F617" t="e">
        <f>Tabela1[[#This Row],[Total de jovens na turma ]]*3</f>
        <v>#N/A</v>
      </c>
      <c r="G617" s="37" t="e">
        <f t="shared" si="20"/>
        <v>#N/A</v>
      </c>
      <c r="H617" s="24">
        <v>6</v>
      </c>
    </row>
    <row r="618" spans="1:8" hidden="1">
      <c r="A618" s="32"/>
      <c r="B618" s="32"/>
      <c r="C618" s="33" t="e">
        <f t="shared" si="19"/>
        <v>#N/A</v>
      </c>
      <c r="D618" s="19">
        <v>202500379</v>
      </c>
      <c r="E618">
        <v>35</v>
      </c>
      <c r="F618" t="e">
        <f>Tabela1[[#This Row],[Total de jovens na turma ]]*3</f>
        <v>#N/A</v>
      </c>
      <c r="G618" s="37" t="e">
        <f t="shared" si="20"/>
        <v>#N/A</v>
      </c>
      <c r="H618" s="24">
        <v>6</v>
      </c>
    </row>
    <row r="619" spans="1:8" hidden="1">
      <c r="A619" s="32"/>
      <c r="B619" s="32"/>
      <c r="C619" s="33" t="e">
        <f t="shared" si="19"/>
        <v>#N/A</v>
      </c>
      <c r="D619" s="18">
        <v>202500379</v>
      </c>
      <c r="E619">
        <v>35</v>
      </c>
      <c r="F619" t="e">
        <f>Tabela1[[#This Row],[Total de jovens na turma ]]*3</f>
        <v>#N/A</v>
      </c>
      <c r="G619" s="37" t="e">
        <f t="shared" si="20"/>
        <v>#N/A</v>
      </c>
      <c r="H619" s="24">
        <v>6</v>
      </c>
    </row>
    <row r="620" spans="1:8" hidden="1">
      <c r="A620" s="32"/>
      <c r="B620" s="32"/>
      <c r="C620" s="33" t="e">
        <f t="shared" si="19"/>
        <v>#N/A</v>
      </c>
      <c r="D620" s="19">
        <v>202500379</v>
      </c>
      <c r="E620">
        <v>35</v>
      </c>
      <c r="F620" t="e">
        <f>Tabela1[[#This Row],[Total de jovens na turma ]]*3</f>
        <v>#N/A</v>
      </c>
      <c r="G620" s="37" t="e">
        <f t="shared" si="20"/>
        <v>#N/A</v>
      </c>
      <c r="H620" s="24">
        <v>6</v>
      </c>
    </row>
    <row r="621" spans="1:8" hidden="1">
      <c r="A621" s="32"/>
      <c r="B621" s="32"/>
      <c r="C621" s="33" t="e">
        <f t="shared" si="19"/>
        <v>#N/A</v>
      </c>
      <c r="D621" s="18">
        <v>202500379</v>
      </c>
      <c r="E621">
        <v>35</v>
      </c>
      <c r="F621" t="e">
        <f>Tabela1[[#This Row],[Total de jovens na turma ]]*3</f>
        <v>#N/A</v>
      </c>
      <c r="G621" s="37" t="e">
        <f t="shared" si="20"/>
        <v>#N/A</v>
      </c>
      <c r="H621" s="24">
        <v>6</v>
      </c>
    </row>
    <row r="622" spans="1:8" hidden="1">
      <c r="A622" s="32"/>
      <c r="B622" s="32"/>
      <c r="C622" s="33" t="e">
        <f t="shared" si="19"/>
        <v>#N/A</v>
      </c>
      <c r="D622" s="19">
        <v>202500379</v>
      </c>
      <c r="E622">
        <v>35</v>
      </c>
      <c r="F622" t="e">
        <f>Tabela1[[#This Row],[Total de jovens na turma ]]*3</f>
        <v>#N/A</v>
      </c>
      <c r="G622" s="37" t="e">
        <f t="shared" si="20"/>
        <v>#N/A</v>
      </c>
      <c r="H622" s="24">
        <v>6</v>
      </c>
    </row>
    <row r="623" spans="1:8" hidden="1">
      <c r="A623" s="32"/>
      <c r="B623" s="32"/>
      <c r="C623" s="33" t="e">
        <f t="shared" si="19"/>
        <v>#N/A</v>
      </c>
      <c r="D623" s="18">
        <v>202500379</v>
      </c>
      <c r="E623">
        <v>35</v>
      </c>
      <c r="F623" t="e">
        <f>Tabela1[[#This Row],[Total de jovens na turma ]]*3</f>
        <v>#N/A</v>
      </c>
      <c r="G623" s="37" t="e">
        <f t="shared" si="20"/>
        <v>#N/A</v>
      </c>
      <c r="H623" s="24">
        <v>6</v>
      </c>
    </row>
    <row r="624" spans="1:8" hidden="1">
      <c r="A624" s="32"/>
      <c r="B624" s="32"/>
      <c r="C624" s="33" t="e">
        <f t="shared" si="19"/>
        <v>#N/A</v>
      </c>
      <c r="D624" s="19">
        <v>202500379</v>
      </c>
      <c r="E624">
        <v>35</v>
      </c>
      <c r="F624" t="e">
        <f>Tabela1[[#This Row],[Total de jovens na turma ]]*3</f>
        <v>#N/A</v>
      </c>
      <c r="G624" s="37" t="e">
        <f t="shared" si="20"/>
        <v>#N/A</v>
      </c>
      <c r="H624" s="24">
        <v>6</v>
      </c>
    </row>
    <row r="625" spans="1:8" hidden="1">
      <c r="A625" s="32"/>
      <c r="B625" s="32"/>
      <c r="C625" s="33" t="e">
        <f t="shared" si="19"/>
        <v>#N/A</v>
      </c>
      <c r="D625" s="18">
        <v>202500379</v>
      </c>
      <c r="E625">
        <v>35</v>
      </c>
      <c r="F625" t="e">
        <f>Tabela1[[#This Row],[Total de jovens na turma ]]*3</f>
        <v>#N/A</v>
      </c>
      <c r="G625" s="37" t="e">
        <f t="shared" si="20"/>
        <v>#N/A</v>
      </c>
      <c r="H625" s="24">
        <v>6</v>
      </c>
    </row>
    <row r="626" spans="1:8" hidden="1">
      <c r="A626" s="32"/>
      <c r="B626" s="32"/>
      <c r="C626" s="33" t="e">
        <f t="shared" si="19"/>
        <v>#N/A</v>
      </c>
      <c r="D626" s="19">
        <v>202500379</v>
      </c>
      <c r="E626">
        <v>35</v>
      </c>
      <c r="F626" t="e">
        <f>Tabela1[[#This Row],[Total de jovens na turma ]]*3</f>
        <v>#N/A</v>
      </c>
      <c r="G626" s="37" t="e">
        <f t="shared" si="20"/>
        <v>#N/A</v>
      </c>
      <c r="H626" s="24">
        <v>6</v>
      </c>
    </row>
    <row r="627" spans="1:8" hidden="1">
      <c r="A627" s="32"/>
      <c r="B627" s="32"/>
      <c r="C627" s="33" t="e">
        <f t="shared" si="19"/>
        <v>#N/A</v>
      </c>
      <c r="D627" s="18">
        <v>202500379</v>
      </c>
      <c r="E627">
        <v>35</v>
      </c>
      <c r="F627" t="e">
        <f>Tabela1[[#This Row],[Total de jovens na turma ]]*3</f>
        <v>#N/A</v>
      </c>
      <c r="G627" s="37" t="e">
        <f t="shared" si="20"/>
        <v>#N/A</v>
      </c>
      <c r="H627" s="24">
        <v>6</v>
      </c>
    </row>
    <row r="628" spans="1:8" hidden="1">
      <c r="A628" s="32"/>
      <c r="B628" s="32"/>
      <c r="C628" s="33" t="e">
        <f t="shared" si="19"/>
        <v>#N/A</v>
      </c>
      <c r="D628" s="19">
        <v>202500379</v>
      </c>
      <c r="E628">
        <v>35</v>
      </c>
      <c r="F628" t="e">
        <f>Tabela1[[#This Row],[Total de jovens na turma ]]*3</f>
        <v>#N/A</v>
      </c>
      <c r="G628" s="37" t="e">
        <f t="shared" si="20"/>
        <v>#N/A</v>
      </c>
      <c r="H628" s="24">
        <v>6</v>
      </c>
    </row>
    <row r="629" spans="1:8" hidden="1">
      <c r="A629" s="32"/>
      <c r="B629" s="32"/>
      <c r="C629" s="33" t="e">
        <f t="shared" si="19"/>
        <v>#N/A</v>
      </c>
      <c r="D629" s="18">
        <v>202500379</v>
      </c>
      <c r="E629">
        <v>35</v>
      </c>
      <c r="F629" t="e">
        <f>Tabela1[[#This Row],[Total de jovens na turma ]]*3</f>
        <v>#N/A</v>
      </c>
      <c r="G629" s="37" t="e">
        <f t="shared" si="20"/>
        <v>#N/A</v>
      </c>
      <c r="H629" s="24">
        <v>6</v>
      </c>
    </row>
    <row r="630" spans="1:8" hidden="1">
      <c r="A630" s="32"/>
      <c r="B630" s="32"/>
      <c r="C630" s="33" t="e">
        <f t="shared" si="19"/>
        <v>#N/A</v>
      </c>
      <c r="D630" s="19">
        <v>202500379</v>
      </c>
      <c r="E630">
        <v>35</v>
      </c>
      <c r="F630" t="e">
        <f>Tabela1[[#This Row],[Total de jovens na turma ]]*3</f>
        <v>#N/A</v>
      </c>
      <c r="G630" s="37" t="e">
        <f t="shared" si="20"/>
        <v>#N/A</v>
      </c>
      <c r="H630" s="24">
        <v>6</v>
      </c>
    </row>
    <row r="631" spans="1:8" hidden="1">
      <c r="A631" s="32"/>
      <c r="B631" s="32"/>
      <c r="C631" s="33" t="e">
        <f t="shared" si="19"/>
        <v>#N/A</v>
      </c>
      <c r="D631" s="18">
        <v>202500379</v>
      </c>
      <c r="E631">
        <v>35</v>
      </c>
      <c r="F631" t="e">
        <f>Tabela1[[#This Row],[Total de jovens na turma ]]*3</f>
        <v>#N/A</v>
      </c>
      <c r="G631" s="37" t="e">
        <f t="shared" si="20"/>
        <v>#N/A</v>
      </c>
      <c r="H631" s="24">
        <v>6</v>
      </c>
    </row>
    <row r="632" spans="1:8" hidden="1">
      <c r="A632" s="32"/>
      <c r="B632" s="32"/>
      <c r="C632" s="33" t="e">
        <f t="shared" si="19"/>
        <v>#N/A</v>
      </c>
      <c r="D632" s="19">
        <v>202500379</v>
      </c>
      <c r="E632">
        <v>35</v>
      </c>
      <c r="F632" t="e">
        <f>Tabela1[[#This Row],[Total de jovens na turma ]]*3</f>
        <v>#N/A</v>
      </c>
      <c r="G632" s="37" t="e">
        <f t="shared" si="20"/>
        <v>#N/A</v>
      </c>
      <c r="H632" s="24">
        <v>6</v>
      </c>
    </row>
    <row r="633" spans="1:8" hidden="1">
      <c r="A633" s="32"/>
      <c r="B633" s="32"/>
      <c r="C633" s="33" t="e">
        <f t="shared" si="19"/>
        <v>#N/A</v>
      </c>
      <c r="D633" s="18">
        <v>202500379</v>
      </c>
      <c r="E633">
        <v>35</v>
      </c>
      <c r="F633" t="e">
        <f>Tabela1[[#This Row],[Total de jovens na turma ]]*3</f>
        <v>#N/A</v>
      </c>
      <c r="G633" s="37" t="e">
        <f t="shared" si="20"/>
        <v>#N/A</v>
      </c>
      <c r="H633" s="24">
        <v>6</v>
      </c>
    </row>
    <row r="634" spans="1:8" hidden="1">
      <c r="A634" s="32"/>
      <c r="B634" s="32"/>
      <c r="C634" s="33" t="e">
        <f t="shared" si="19"/>
        <v>#N/A</v>
      </c>
      <c r="D634" s="19">
        <v>202500379</v>
      </c>
      <c r="E634">
        <v>35</v>
      </c>
      <c r="F634" t="e">
        <f>Tabela1[[#This Row],[Total de jovens na turma ]]*3</f>
        <v>#N/A</v>
      </c>
      <c r="G634" s="37" t="e">
        <f t="shared" si="20"/>
        <v>#N/A</v>
      </c>
      <c r="H634" s="24">
        <v>6</v>
      </c>
    </row>
    <row r="635" spans="1:8" hidden="1">
      <c r="A635" s="32"/>
      <c r="B635" s="32"/>
      <c r="C635" s="33" t="e">
        <f t="shared" si="19"/>
        <v>#N/A</v>
      </c>
      <c r="D635" s="18">
        <v>202500379</v>
      </c>
      <c r="E635">
        <v>35</v>
      </c>
      <c r="F635" t="e">
        <f>Tabela1[[#This Row],[Total de jovens na turma ]]*3</f>
        <v>#N/A</v>
      </c>
      <c r="G635" s="37" t="e">
        <f t="shared" si="20"/>
        <v>#N/A</v>
      </c>
      <c r="H635" s="24">
        <v>6</v>
      </c>
    </row>
    <row r="636" spans="1:8" hidden="1">
      <c r="A636" s="32"/>
      <c r="B636" s="32"/>
      <c r="C636" s="33" t="e">
        <f t="shared" si="19"/>
        <v>#N/A</v>
      </c>
      <c r="D636" s="19">
        <v>202500379</v>
      </c>
      <c r="E636">
        <v>35</v>
      </c>
      <c r="F636" t="e">
        <f>Tabela1[[#This Row],[Total de jovens na turma ]]*3</f>
        <v>#N/A</v>
      </c>
      <c r="G636" s="37" t="e">
        <f t="shared" si="20"/>
        <v>#N/A</v>
      </c>
      <c r="H636" s="24">
        <v>6</v>
      </c>
    </row>
    <row r="637" spans="1:8" hidden="1">
      <c r="A637" s="32"/>
      <c r="B637" s="32"/>
      <c r="C637" s="33" t="e">
        <f t="shared" si="19"/>
        <v>#N/A</v>
      </c>
      <c r="D637" s="18">
        <v>202500379</v>
      </c>
      <c r="E637">
        <v>35</v>
      </c>
      <c r="F637" t="e">
        <f>Tabela1[[#This Row],[Total de jovens na turma ]]*3</f>
        <v>#N/A</v>
      </c>
      <c r="G637" s="37" t="e">
        <f t="shared" si="20"/>
        <v>#N/A</v>
      </c>
      <c r="H637" s="24">
        <v>6</v>
      </c>
    </row>
    <row r="638" spans="1:8" hidden="1">
      <c r="A638" s="32"/>
      <c r="B638" s="32"/>
      <c r="C638" s="33" t="e">
        <f t="shared" si="19"/>
        <v>#N/A</v>
      </c>
      <c r="D638" s="19">
        <v>202500379</v>
      </c>
      <c r="E638">
        <v>35</v>
      </c>
      <c r="F638" t="e">
        <f>Tabela1[[#This Row],[Total de jovens na turma ]]*3</f>
        <v>#N/A</v>
      </c>
      <c r="G638" s="37" t="e">
        <f t="shared" si="20"/>
        <v>#N/A</v>
      </c>
      <c r="H638" s="24">
        <v>6</v>
      </c>
    </row>
    <row r="639" spans="1:8" hidden="1">
      <c r="A639" s="32"/>
      <c r="B639" s="32"/>
      <c r="C639" s="33" t="e">
        <f t="shared" si="19"/>
        <v>#N/A</v>
      </c>
      <c r="D639" s="18">
        <v>202500631</v>
      </c>
      <c r="E639">
        <v>33</v>
      </c>
      <c r="F639" t="e">
        <f>Tabela1[[#This Row],[Total de jovens na turma ]]*3</f>
        <v>#N/A</v>
      </c>
      <c r="G639" s="37" t="e">
        <f t="shared" si="20"/>
        <v>#N/A</v>
      </c>
      <c r="H639" s="24">
        <v>6</v>
      </c>
    </row>
    <row r="640" spans="1:8" hidden="1">
      <c r="A640" s="32"/>
      <c r="B640" s="32"/>
      <c r="C640" s="33" t="e">
        <f t="shared" si="19"/>
        <v>#N/A</v>
      </c>
      <c r="D640" s="19">
        <v>202500631</v>
      </c>
      <c r="E640">
        <v>33</v>
      </c>
      <c r="F640" t="e">
        <f>Tabela1[[#This Row],[Total de jovens na turma ]]*3</f>
        <v>#N/A</v>
      </c>
      <c r="G640" s="37" t="e">
        <f t="shared" si="20"/>
        <v>#N/A</v>
      </c>
      <c r="H640" s="24">
        <v>6</v>
      </c>
    </row>
    <row r="641" spans="1:8" hidden="1">
      <c r="A641" s="32"/>
      <c r="B641" s="32"/>
      <c r="C641" s="33" t="e">
        <f t="shared" si="19"/>
        <v>#N/A</v>
      </c>
      <c r="D641" s="18">
        <v>202500631</v>
      </c>
      <c r="E641">
        <v>33</v>
      </c>
      <c r="F641" t="e">
        <f>Tabela1[[#This Row],[Total de jovens na turma ]]*3</f>
        <v>#N/A</v>
      </c>
      <c r="G641" s="37" t="e">
        <f t="shared" si="20"/>
        <v>#N/A</v>
      </c>
      <c r="H641" s="24">
        <v>6</v>
      </c>
    </row>
    <row r="642" spans="1:8" hidden="1">
      <c r="A642" s="32"/>
      <c r="B642" s="32"/>
      <c r="C642" s="33" t="e">
        <f t="shared" si="19"/>
        <v>#N/A</v>
      </c>
      <c r="D642" s="19">
        <v>202500631</v>
      </c>
      <c r="E642">
        <v>33</v>
      </c>
      <c r="F642" t="e">
        <f>Tabela1[[#This Row],[Total de jovens na turma ]]*3</f>
        <v>#N/A</v>
      </c>
      <c r="G642" s="37" t="e">
        <f t="shared" si="20"/>
        <v>#N/A</v>
      </c>
      <c r="H642" s="24">
        <v>6</v>
      </c>
    </row>
    <row r="643" spans="1:8" hidden="1">
      <c r="A643" s="32"/>
      <c r="B643" s="32"/>
      <c r="C643" s="33" t="e">
        <f t="shared" si="19"/>
        <v>#N/A</v>
      </c>
      <c r="D643" s="18">
        <v>202500631</v>
      </c>
      <c r="E643">
        <v>33</v>
      </c>
      <c r="F643" t="e">
        <f>Tabela1[[#This Row],[Total de jovens na turma ]]*3</f>
        <v>#N/A</v>
      </c>
      <c r="G643" s="37" t="e">
        <f t="shared" si="20"/>
        <v>#N/A</v>
      </c>
      <c r="H643" s="24">
        <v>6</v>
      </c>
    </row>
    <row r="644" spans="1:8" hidden="1">
      <c r="A644" s="32"/>
      <c r="B644" s="32"/>
      <c r="C644" s="33" t="e">
        <f t="shared" si="19"/>
        <v>#N/A</v>
      </c>
      <c r="D644" s="19">
        <v>202500631</v>
      </c>
      <c r="E644">
        <v>33</v>
      </c>
      <c r="F644" t="e">
        <f>Tabela1[[#This Row],[Total de jovens na turma ]]*3</f>
        <v>#N/A</v>
      </c>
      <c r="G644" s="37" t="e">
        <f t="shared" si="20"/>
        <v>#N/A</v>
      </c>
      <c r="H644" s="24">
        <v>6</v>
      </c>
    </row>
    <row r="645" spans="1:8" hidden="1">
      <c r="A645" s="32"/>
      <c r="B645" s="32"/>
      <c r="C645" s="33" t="e">
        <f t="shared" ref="C645:C708" si="21">VLOOKUP(A645,D:E,2,0)</f>
        <v>#N/A</v>
      </c>
      <c r="D645" s="18">
        <v>202500631</v>
      </c>
      <c r="E645">
        <v>33</v>
      </c>
      <c r="F645" t="e">
        <f>Tabela1[[#This Row],[Total de jovens na turma ]]*3</f>
        <v>#N/A</v>
      </c>
      <c r="G645" s="37" t="e">
        <f t="shared" si="20"/>
        <v>#N/A</v>
      </c>
      <c r="H645" s="24">
        <v>6</v>
      </c>
    </row>
    <row r="646" spans="1:8" hidden="1">
      <c r="A646" s="32"/>
      <c r="B646" s="32"/>
      <c r="C646" s="33" t="e">
        <f t="shared" si="21"/>
        <v>#N/A</v>
      </c>
      <c r="D646" s="19">
        <v>202500631</v>
      </c>
      <c r="E646">
        <v>33</v>
      </c>
      <c r="F646" t="e">
        <f>Tabela1[[#This Row],[Total de jovens na turma ]]*3</f>
        <v>#N/A</v>
      </c>
      <c r="G646" s="37" t="e">
        <f t="shared" si="20"/>
        <v>#N/A</v>
      </c>
      <c r="H646" s="24">
        <v>6</v>
      </c>
    </row>
    <row r="647" spans="1:8" hidden="1">
      <c r="A647" s="32"/>
      <c r="B647" s="32"/>
      <c r="C647" s="33" t="e">
        <f t="shared" si="21"/>
        <v>#N/A</v>
      </c>
      <c r="D647" s="18">
        <v>202500631</v>
      </c>
      <c r="E647">
        <v>33</v>
      </c>
      <c r="F647" t="e">
        <f>Tabela1[[#This Row],[Total de jovens na turma ]]*3</f>
        <v>#N/A</v>
      </c>
      <c r="G647" s="37" t="e">
        <f t="shared" ref="G647:G710" si="22">F647/24</f>
        <v>#N/A</v>
      </c>
      <c r="H647" s="24">
        <v>6</v>
      </c>
    </row>
    <row r="648" spans="1:8" hidden="1">
      <c r="A648" s="32"/>
      <c r="B648" s="32"/>
      <c r="C648" s="33" t="e">
        <f t="shared" si="21"/>
        <v>#N/A</v>
      </c>
      <c r="D648" s="19">
        <v>202500631</v>
      </c>
      <c r="E648">
        <v>33</v>
      </c>
      <c r="F648" t="e">
        <f>Tabela1[[#This Row],[Total de jovens na turma ]]*3</f>
        <v>#N/A</v>
      </c>
      <c r="G648" s="37" t="e">
        <f t="shared" si="22"/>
        <v>#N/A</v>
      </c>
      <c r="H648" s="24">
        <v>6</v>
      </c>
    </row>
    <row r="649" spans="1:8" hidden="1">
      <c r="A649" s="32"/>
      <c r="B649" s="32"/>
      <c r="C649" s="33" t="e">
        <f t="shared" si="21"/>
        <v>#N/A</v>
      </c>
      <c r="D649" s="18">
        <v>202500631</v>
      </c>
      <c r="E649">
        <v>33</v>
      </c>
      <c r="F649" t="e">
        <f>Tabela1[[#This Row],[Total de jovens na turma ]]*3</f>
        <v>#N/A</v>
      </c>
      <c r="G649" s="37" t="e">
        <f t="shared" si="22"/>
        <v>#N/A</v>
      </c>
      <c r="H649" s="24">
        <v>6</v>
      </c>
    </row>
    <row r="650" spans="1:8" hidden="1">
      <c r="A650" s="32"/>
      <c r="B650" s="32"/>
      <c r="C650" s="33" t="e">
        <f t="shared" si="21"/>
        <v>#N/A</v>
      </c>
      <c r="D650" s="19">
        <v>202500631</v>
      </c>
      <c r="E650">
        <v>33</v>
      </c>
      <c r="F650" t="e">
        <f>Tabela1[[#This Row],[Total de jovens na turma ]]*3</f>
        <v>#N/A</v>
      </c>
      <c r="G650" s="37" t="e">
        <f t="shared" si="22"/>
        <v>#N/A</v>
      </c>
      <c r="H650" s="24">
        <v>6</v>
      </c>
    </row>
    <row r="651" spans="1:8" hidden="1">
      <c r="A651" s="32"/>
      <c r="B651" s="32"/>
      <c r="C651" s="33" t="e">
        <f t="shared" si="21"/>
        <v>#N/A</v>
      </c>
      <c r="D651" s="18">
        <v>202500631</v>
      </c>
      <c r="E651">
        <v>33</v>
      </c>
      <c r="F651" t="e">
        <f>Tabela1[[#This Row],[Total de jovens na turma ]]*3</f>
        <v>#N/A</v>
      </c>
      <c r="G651" s="37" t="e">
        <f t="shared" si="22"/>
        <v>#N/A</v>
      </c>
      <c r="H651" s="24">
        <v>6</v>
      </c>
    </row>
    <row r="652" spans="1:8" hidden="1">
      <c r="A652" s="32"/>
      <c r="B652" s="32"/>
      <c r="C652" s="33" t="e">
        <f t="shared" si="21"/>
        <v>#N/A</v>
      </c>
      <c r="D652" s="19">
        <v>202500631</v>
      </c>
      <c r="E652">
        <v>33</v>
      </c>
      <c r="F652" t="e">
        <f>Tabela1[[#This Row],[Total de jovens na turma ]]*3</f>
        <v>#N/A</v>
      </c>
      <c r="G652" s="37" t="e">
        <f t="shared" si="22"/>
        <v>#N/A</v>
      </c>
      <c r="H652" s="24">
        <v>6</v>
      </c>
    </row>
    <row r="653" spans="1:8" hidden="1">
      <c r="A653" s="32"/>
      <c r="B653" s="32"/>
      <c r="C653" s="33" t="e">
        <f t="shared" si="21"/>
        <v>#N/A</v>
      </c>
      <c r="D653" s="18">
        <v>202500631</v>
      </c>
      <c r="E653">
        <v>33</v>
      </c>
      <c r="F653" t="e">
        <f>Tabela1[[#This Row],[Total de jovens na turma ]]*3</f>
        <v>#N/A</v>
      </c>
      <c r="G653" s="37" t="e">
        <f t="shared" si="22"/>
        <v>#N/A</v>
      </c>
      <c r="H653" s="24">
        <v>6</v>
      </c>
    </row>
    <row r="654" spans="1:8" hidden="1">
      <c r="A654" s="32"/>
      <c r="B654" s="32"/>
      <c r="C654" s="33" t="e">
        <f t="shared" si="21"/>
        <v>#N/A</v>
      </c>
      <c r="D654" s="19">
        <v>202500631</v>
      </c>
      <c r="E654">
        <v>33</v>
      </c>
      <c r="F654" t="e">
        <f>Tabela1[[#This Row],[Total de jovens na turma ]]*3</f>
        <v>#N/A</v>
      </c>
      <c r="G654" s="37" t="e">
        <f t="shared" si="22"/>
        <v>#N/A</v>
      </c>
      <c r="H654" s="24">
        <v>6</v>
      </c>
    </row>
    <row r="655" spans="1:8" hidden="1">
      <c r="A655" s="32"/>
      <c r="B655" s="32"/>
      <c r="C655" s="33" t="e">
        <f t="shared" si="21"/>
        <v>#N/A</v>
      </c>
      <c r="D655" s="18">
        <v>202500379</v>
      </c>
      <c r="E655">
        <v>35</v>
      </c>
      <c r="F655" t="e">
        <f>Tabela1[[#This Row],[Total de jovens na turma ]]*3</f>
        <v>#N/A</v>
      </c>
      <c r="G655" s="37" t="e">
        <f t="shared" si="22"/>
        <v>#N/A</v>
      </c>
      <c r="H655" s="24">
        <v>6</v>
      </c>
    </row>
    <row r="656" spans="1:8" hidden="1">
      <c r="A656" s="32"/>
      <c r="B656" s="32"/>
      <c r="C656" s="33" t="e">
        <f t="shared" si="21"/>
        <v>#N/A</v>
      </c>
      <c r="D656" s="19">
        <v>202500379</v>
      </c>
      <c r="E656">
        <v>35</v>
      </c>
      <c r="F656" t="e">
        <f>Tabela1[[#This Row],[Total de jovens na turma ]]*3</f>
        <v>#N/A</v>
      </c>
      <c r="G656" s="37" t="e">
        <f t="shared" si="22"/>
        <v>#N/A</v>
      </c>
      <c r="H656" s="24">
        <v>6</v>
      </c>
    </row>
    <row r="657" spans="1:8" hidden="1">
      <c r="A657" s="32"/>
      <c r="B657" s="32"/>
      <c r="C657" s="33" t="e">
        <f t="shared" si="21"/>
        <v>#N/A</v>
      </c>
      <c r="D657" s="18">
        <v>202500379</v>
      </c>
      <c r="E657">
        <v>35</v>
      </c>
      <c r="F657" t="e">
        <f>Tabela1[[#This Row],[Total de jovens na turma ]]*3</f>
        <v>#N/A</v>
      </c>
      <c r="G657" s="37" t="e">
        <f t="shared" si="22"/>
        <v>#N/A</v>
      </c>
      <c r="H657" s="24">
        <v>6</v>
      </c>
    </row>
    <row r="658" spans="1:8" hidden="1">
      <c r="A658" s="32"/>
      <c r="B658" s="32"/>
      <c r="C658" s="33" t="e">
        <f t="shared" si="21"/>
        <v>#N/A</v>
      </c>
      <c r="D658" s="19">
        <v>202500379</v>
      </c>
      <c r="E658">
        <v>35</v>
      </c>
      <c r="F658" t="e">
        <f>Tabela1[[#This Row],[Total de jovens na turma ]]*3</f>
        <v>#N/A</v>
      </c>
      <c r="G658" s="37" t="e">
        <f t="shared" si="22"/>
        <v>#N/A</v>
      </c>
      <c r="H658" s="24">
        <v>6</v>
      </c>
    </row>
    <row r="659" spans="1:8" hidden="1">
      <c r="A659" s="32"/>
      <c r="B659" s="32"/>
      <c r="C659" s="33" t="e">
        <f t="shared" si="21"/>
        <v>#N/A</v>
      </c>
      <c r="D659" s="18">
        <v>202500631</v>
      </c>
      <c r="E659">
        <v>33</v>
      </c>
      <c r="F659" t="e">
        <f>Tabela1[[#This Row],[Total de jovens na turma ]]*3</f>
        <v>#N/A</v>
      </c>
      <c r="G659" s="37" t="e">
        <f t="shared" si="22"/>
        <v>#N/A</v>
      </c>
      <c r="H659" s="24">
        <v>6</v>
      </c>
    </row>
    <row r="660" spans="1:8" hidden="1">
      <c r="A660" s="32"/>
      <c r="B660" s="32"/>
      <c r="C660" s="33" t="e">
        <f t="shared" si="21"/>
        <v>#N/A</v>
      </c>
      <c r="D660" s="19">
        <v>202500631</v>
      </c>
      <c r="E660">
        <v>33</v>
      </c>
      <c r="F660" t="e">
        <f>Tabela1[[#This Row],[Total de jovens na turma ]]*3</f>
        <v>#N/A</v>
      </c>
      <c r="G660" s="37" t="e">
        <f t="shared" si="22"/>
        <v>#N/A</v>
      </c>
      <c r="H660" s="24">
        <v>6</v>
      </c>
    </row>
    <row r="661" spans="1:8" hidden="1">
      <c r="A661" s="32"/>
      <c r="B661" s="32"/>
      <c r="C661" s="33" t="e">
        <f t="shared" si="21"/>
        <v>#N/A</v>
      </c>
      <c r="D661" s="18">
        <v>202500631</v>
      </c>
      <c r="E661">
        <v>33</v>
      </c>
      <c r="F661" t="e">
        <f>Tabela1[[#This Row],[Total de jovens na turma ]]*3</f>
        <v>#N/A</v>
      </c>
      <c r="G661" s="37" t="e">
        <f t="shared" si="22"/>
        <v>#N/A</v>
      </c>
      <c r="H661" s="24">
        <v>6</v>
      </c>
    </row>
    <row r="662" spans="1:8" hidden="1">
      <c r="A662" s="32"/>
      <c r="B662" s="32"/>
      <c r="C662" s="33" t="e">
        <f t="shared" si="21"/>
        <v>#N/A</v>
      </c>
      <c r="D662" s="19">
        <v>202500379</v>
      </c>
      <c r="E662">
        <v>35</v>
      </c>
      <c r="F662" t="e">
        <f>Tabela1[[#This Row],[Total de jovens na turma ]]*3</f>
        <v>#N/A</v>
      </c>
      <c r="G662" s="37" t="e">
        <f t="shared" si="22"/>
        <v>#N/A</v>
      </c>
      <c r="H662" s="24">
        <v>6</v>
      </c>
    </row>
    <row r="663" spans="1:8" hidden="1">
      <c r="A663" s="32"/>
      <c r="B663" s="32"/>
      <c r="C663" s="33" t="e">
        <f t="shared" si="21"/>
        <v>#N/A</v>
      </c>
      <c r="D663" s="18">
        <v>202500631</v>
      </c>
      <c r="E663">
        <v>33</v>
      </c>
      <c r="F663" t="e">
        <f>Tabela1[[#This Row],[Total de jovens na turma ]]*3</f>
        <v>#N/A</v>
      </c>
      <c r="G663" s="37" t="e">
        <f t="shared" si="22"/>
        <v>#N/A</v>
      </c>
      <c r="H663" s="24">
        <v>6</v>
      </c>
    </row>
    <row r="664" spans="1:8" hidden="1">
      <c r="A664" s="32"/>
      <c r="B664" s="32"/>
      <c r="C664" s="33" t="e">
        <f t="shared" si="21"/>
        <v>#N/A</v>
      </c>
      <c r="D664" s="19">
        <v>202500631</v>
      </c>
      <c r="E664">
        <v>33</v>
      </c>
      <c r="F664" t="e">
        <f>Tabela1[[#This Row],[Total de jovens na turma ]]*3</f>
        <v>#N/A</v>
      </c>
      <c r="G664" s="37" t="e">
        <f t="shared" si="22"/>
        <v>#N/A</v>
      </c>
      <c r="H664" s="24">
        <v>6</v>
      </c>
    </row>
    <row r="665" spans="1:8" hidden="1">
      <c r="A665" s="32"/>
      <c r="B665" s="32"/>
      <c r="C665" s="33" t="e">
        <f t="shared" si="21"/>
        <v>#N/A</v>
      </c>
      <c r="D665" s="18">
        <v>202500631</v>
      </c>
      <c r="E665">
        <v>33</v>
      </c>
      <c r="F665" t="e">
        <f>Tabela1[[#This Row],[Total de jovens na turma ]]*3</f>
        <v>#N/A</v>
      </c>
      <c r="G665" s="37" t="e">
        <f t="shared" si="22"/>
        <v>#N/A</v>
      </c>
      <c r="H665" s="24">
        <v>6</v>
      </c>
    </row>
    <row r="666" spans="1:8" hidden="1">
      <c r="A666" s="32"/>
      <c r="B666" s="32"/>
      <c r="C666" s="33" t="e">
        <f t="shared" si="21"/>
        <v>#N/A</v>
      </c>
      <c r="D666" s="19">
        <v>202500631</v>
      </c>
      <c r="E666">
        <v>33</v>
      </c>
      <c r="F666" t="e">
        <f>Tabela1[[#This Row],[Total de jovens na turma ]]*3</f>
        <v>#N/A</v>
      </c>
      <c r="G666" s="37" t="e">
        <f t="shared" si="22"/>
        <v>#N/A</v>
      </c>
      <c r="H666" s="24">
        <v>6</v>
      </c>
    </row>
    <row r="667" spans="1:8" hidden="1">
      <c r="A667" s="32"/>
      <c r="B667" s="32"/>
      <c r="C667" s="33" t="e">
        <f t="shared" si="21"/>
        <v>#N/A</v>
      </c>
      <c r="D667" s="18">
        <v>202500631</v>
      </c>
      <c r="E667">
        <v>33</v>
      </c>
      <c r="F667" t="e">
        <f>Tabela1[[#This Row],[Total de jovens na turma ]]*3</f>
        <v>#N/A</v>
      </c>
      <c r="G667" s="37" t="e">
        <f t="shared" si="22"/>
        <v>#N/A</v>
      </c>
      <c r="H667" s="24">
        <v>6</v>
      </c>
    </row>
    <row r="668" spans="1:8" hidden="1">
      <c r="A668" s="32"/>
      <c r="B668" s="32"/>
      <c r="C668" s="33" t="e">
        <f t="shared" si="21"/>
        <v>#N/A</v>
      </c>
      <c r="D668" s="19">
        <v>202500379</v>
      </c>
      <c r="E668">
        <v>35</v>
      </c>
      <c r="F668" t="e">
        <f>Tabela1[[#This Row],[Total de jovens na turma ]]*3</f>
        <v>#N/A</v>
      </c>
      <c r="G668" s="37" t="e">
        <f t="shared" si="22"/>
        <v>#N/A</v>
      </c>
      <c r="H668" s="24">
        <v>6</v>
      </c>
    </row>
    <row r="669" spans="1:8" hidden="1">
      <c r="A669" s="32"/>
      <c r="B669" s="32"/>
      <c r="C669" s="33" t="e">
        <f t="shared" si="21"/>
        <v>#N/A</v>
      </c>
      <c r="D669" s="18">
        <v>202500631</v>
      </c>
      <c r="E669">
        <v>33</v>
      </c>
      <c r="F669" t="e">
        <f>Tabela1[[#This Row],[Total de jovens na turma ]]*3</f>
        <v>#N/A</v>
      </c>
      <c r="G669" s="37" t="e">
        <f t="shared" si="22"/>
        <v>#N/A</v>
      </c>
      <c r="H669" s="24">
        <v>6</v>
      </c>
    </row>
    <row r="670" spans="1:8" hidden="1">
      <c r="A670" s="32"/>
      <c r="B670" s="32"/>
      <c r="C670" s="33" t="e">
        <f t="shared" si="21"/>
        <v>#N/A</v>
      </c>
      <c r="D670" s="19">
        <v>202500631</v>
      </c>
      <c r="E670">
        <v>33</v>
      </c>
      <c r="F670" t="e">
        <f>Tabela1[[#This Row],[Total de jovens na turma ]]*3</f>
        <v>#N/A</v>
      </c>
      <c r="G670" s="37" t="e">
        <f t="shared" si="22"/>
        <v>#N/A</v>
      </c>
      <c r="H670" s="24">
        <v>6</v>
      </c>
    </row>
    <row r="671" spans="1:8" hidden="1">
      <c r="A671" s="32"/>
      <c r="B671" s="32"/>
      <c r="C671" s="33" t="e">
        <f t="shared" si="21"/>
        <v>#N/A</v>
      </c>
      <c r="D671" s="18">
        <v>202500631</v>
      </c>
      <c r="E671">
        <v>33</v>
      </c>
      <c r="F671" t="e">
        <f>Tabela1[[#This Row],[Total de jovens na turma ]]*3</f>
        <v>#N/A</v>
      </c>
      <c r="G671" s="37" t="e">
        <f t="shared" si="22"/>
        <v>#N/A</v>
      </c>
      <c r="H671" s="24">
        <v>6</v>
      </c>
    </row>
    <row r="672" spans="1:8" hidden="1">
      <c r="A672" s="32"/>
      <c r="B672" s="32"/>
      <c r="C672" s="33" t="e">
        <f t="shared" si="21"/>
        <v>#N/A</v>
      </c>
      <c r="D672" s="19">
        <v>202500379</v>
      </c>
      <c r="E672">
        <v>35</v>
      </c>
      <c r="F672" t="e">
        <f>Tabela1[[#This Row],[Total de jovens na turma ]]*3</f>
        <v>#N/A</v>
      </c>
      <c r="G672" s="37" t="e">
        <f t="shared" si="22"/>
        <v>#N/A</v>
      </c>
      <c r="H672" s="24">
        <v>6</v>
      </c>
    </row>
    <row r="673" spans="1:8" hidden="1">
      <c r="A673" s="32"/>
      <c r="B673" s="32"/>
      <c r="C673" s="33" t="e">
        <f t="shared" si="21"/>
        <v>#N/A</v>
      </c>
      <c r="D673" s="18">
        <v>202500379</v>
      </c>
      <c r="E673">
        <v>35</v>
      </c>
      <c r="F673" t="e">
        <f>Tabela1[[#This Row],[Total de jovens na turma ]]*3</f>
        <v>#N/A</v>
      </c>
      <c r="G673" s="37" t="e">
        <f t="shared" si="22"/>
        <v>#N/A</v>
      </c>
      <c r="H673" s="24">
        <v>6</v>
      </c>
    </row>
    <row r="674" spans="1:8" hidden="1">
      <c r="A674" s="32"/>
      <c r="B674" s="32"/>
      <c r="C674" s="33" t="e">
        <f t="shared" si="21"/>
        <v>#N/A</v>
      </c>
      <c r="D674" s="19">
        <v>202500379</v>
      </c>
      <c r="E674">
        <v>35</v>
      </c>
      <c r="F674" t="e">
        <f>Tabela1[[#This Row],[Total de jovens na turma ]]*3</f>
        <v>#N/A</v>
      </c>
      <c r="G674" s="37" t="e">
        <f t="shared" si="22"/>
        <v>#N/A</v>
      </c>
      <c r="H674" s="24">
        <v>6</v>
      </c>
    </row>
    <row r="675" spans="1:8" hidden="1">
      <c r="A675" s="32"/>
      <c r="B675" s="32"/>
      <c r="C675" s="33" t="e">
        <f t="shared" si="21"/>
        <v>#N/A</v>
      </c>
      <c r="D675" s="18">
        <v>202500379</v>
      </c>
      <c r="E675">
        <v>35</v>
      </c>
      <c r="F675" t="e">
        <f>Tabela1[[#This Row],[Total de jovens na turma ]]*3</f>
        <v>#N/A</v>
      </c>
      <c r="G675" s="37" t="e">
        <f t="shared" si="22"/>
        <v>#N/A</v>
      </c>
      <c r="H675" s="24">
        <v>6</v>
      </c>
    </row>
    <row r="676" spans="1:8" hidden="1">
      <c r="A676" s="32"/>
      <c r="B676" s="32"/>
      <c r="C676" s="33" t="e">
        <f t="shared" si="21"/>
        <v>#N/A</v>
      </c>
      <c r="D676" s="19">
        <v>202500379</v>
      </c>
      <c r="E676">
        <v>35</v>
      </c>
      <c r="F676" t="e">
        <f>Tabela1[[#This Row],[Total de jovens na turma ]]*3</f>
        <v>#N/A</v>
      </c>
      <c r="G676" s="37" t="e">
        <f t="shared" si="22"/>
        <v>#N/A</v>
      </c>
      <c r="H676" s="24">
        <v>6</v>
      </c>
    </row>
    <row r="677" spans="1:8" hidden="1">
      <c r="A677" s="32"/>
      <c r="B677" s="32"/>
      <c r="C677" s="33" t="e">
        <f t="shared" si="21"/>
        <v>#N/A</v>
      </c>
      <c r="D677" s="18">
        <v>202500379</v>
      </c>
      <c r="E677">
        <v>35</v>
      </c>
      <c r="F677" t="e">
        <f>Tabela1[[#This Row],[Total de jovens na turma ]]*3</f>
        <v>#N/A</v>
      </c>
      <c r="G677" s="37" t="e">
        <f t="shared" si="22"/>
        <v>#N/A</v>
      </c>
      <c r="H677" s="24">
        <v>6</v>
      </c>
    </row>
    <row r="678" spans="1:8" hidden="1">
      <c r="A678" s="32"/>
      <c r="B678" s="32"/>
      <c r="C678" s="33" t="e">
        <f t="shared" si="21"/>
        <v>#N/A</v>
      </c>
      <c r="D678" s="19">
        <v>202500631</v>
      </c>
      <c r="E678">
        <v>33</v>
      </c>
      <c r="F678" t="e">
        <f>Tabela1[[#This Row],[Total de jovens na turma ]]*3</f>
        <v>#N/A</v>
      </c>
      <c r="G678" s="37" t="e">
        <f t="shared" si="22"/>
        <v>#N/A</v>
      </c>
      <c r="H678" s="24">
        <v>6</v>
      </c>
    </row>
    <row r="679" spans="1:8" hidden="1">
      <c r="A679" s="32"/>
      <c r="B679" s="32"/>
      <c r="C679" s="33" t="e">
        <f t="shared" si="21"/>
        <v>#N/A</v>
      </c>
      <c r="D679" s="18">
        <v>202500379</v>
      </c>
      <c r="E679">
        <v>35</v>
      </c>
      <c r="F679" t="e">
        <f>Tabela1[[#This Row],[Total de jovens na turma ]]*3</f>
        <v>#N/A</v>
      </c>
      <c r="G679" s="37" t="e">
        <f t="shared" si="22"/>
        <v>#N/A</v>
      </c>
      <c r="H679" s="24">
        <v>6</v>
      </c>
    </row>
    <row r="680" spans="1:8" hidden="1">
      <c r="A680" s="32"/>
      <c r="B680" s="32"/>
      <c r="C680" s="33" t="e">
        <f t="shared" si="21"/>
        <v>#N/A</v>
      </c>
      <c r="D680" s="19">
        <v>202500379</v>
      </c>
      <c r="E680">
        <v>35</v>
      </c>
      <c r="F680" t="e">
        <f>Tabela1[[#This Row],[Total de jovens na turma ]]*3</f>
        <v>#N/A</v>
      </c>
      <c r="G680" s="37" t="e">
        <f t="shared" si="22"/>
        <v>#N/A</v>
      </c>
      <c r="H680" s="24">
        <v>6</v>
      </c>
    </row>
    <row r="681" spans="1:8" hidden="1">
      <c r="A681" s="32"/>
      <c r="B681" s="32"/>
      <c r="C681" s="33" t="e">
        <f t="shared" si="21"/>
        <v>#N/A</v>
      </c>
      <c r="D681" s="18">
        <v>202500631</v>
      </c>
      <c r="E681">
        <v>33</v>
      </c>
      <c r="F681" t="e">
        <f>Tabela1[[#This Row],[Total de jovens na turma ]]*3</f>
        <v>#N/A</v>
      </c>
      <c r="G681" s="37" t="e">
        <f t="shared" si="22"/>
        <v>#N/A</v>
      </c>
      <c r="H681" s="24">
        <v>6</v>
      </c>
    </row>
    <row r="682" spans="1:8" hidden="1">
      <c r="A682" s="32"/>
      <c r="B682" s="32"/>
      <c r="C682" s="33" t="e">
        <f t="shared" si="21"/>
        <v>#N/A</v>
      </c>
      <c r="D682" s="19">
        <v>202500631</v>
      </c>
      <c r="E682">
        <v>33</v>
      </c>
      <c r="F682" t="e">
        <f>Tabela1[[#This Row],[Total de jovens na turma ]]*3</f>
        <v>#N/A</v>
      </c>
      <c r="G682" s="37" t="e">
        <f t="shared" si="22"/>
        <v>#N/A</v>
      </c>
      <c r="H682" s="24">
        <v>6</v>
      </c>
    </row>
    <row r="683" spans="1:8" hidden="1">
      <c r="A683" s="32"/>
      <c r="B683" s="32"/>
      <c r="C683" s="33" t="e">
        <f t="shared" si="21"/>
        <v>#N/A</v>
      </c>
      <c r="D683" s="18">
        <v>202500631</v>
      </c>
      <c r="E683">
        <v>33</v>
      </c>
      <c r="F683" t="e">
        <f>Tabela1[[#This Row],[Total de jovens na turma ]]*3</f>
        <v>#N/A</v>
      </c>
      <c r="G683" s="37" t="e">
        <f t="shared" si="22"/>
        <v>#N/A</v>
      </c>
      <c r="H683" s="24">
        <v>6</v>
      </c>
    </row>
    <row r="684" spans="1:8" hidden="1">
      <c r="A684" s="32"/>
      <c r="B684" s="32"/>
      <c r="C684" s="33" t="e">
        <f t="shared" si="21"/>
        <v>#N/A</v>
      </c>
      <c r="D684" s="19">
        <v>202500631</v>
      </c>
      <c r="E684">
        <v>33</v>
      </c>
      <c r="F684" t="e">
        <f>Tabela1[[#This Row],[Total de jovens na turma ]]*3</f>
        <v>#N/A</v>
      </c>
      <c r="G684" s="37" t="e">
        <f t="shared" si="22"/>
        <v>#N/A</v>
      </c>
      <c r="H684" s="24">
        <v>6</v>
      </c>
    </row>
    <row r="685" spans="1:8" hidden="1">
      <c r="A685" s="32"/>
      <c r="B685" s="32"/>
      <c r="C685" s="33" t="e">
        <f t="shared" si="21"/>
        <v>#N/A</v>
      </c>
      <c r="D685" s="18">
        <v>202500631</v>
      </c>
      <c r="E685">
        <v>33</v>
      </c>
      <c r="F685" t="e">
        <f>Tabela1[[#This Row],[Total de jovens na turma ]]*3</f>
        <v>#N/A</v>
      </c>
      <c r="G685" s="37" t="e">
        <f t="shared" si="22"/>
        <v>#N/A</v>
      </c>
      <c r="H685" s="24">
        <v>6</v>
      </c>
    </row>
    <row r="686" spans="1:8" hidden="1">
      <c r="A686" s="32"/>
      <c r="B686" s="32"/>
      <c r="C686" s="33" t="e">
        <f t="shared" si="21"/>
        <v>#N/A</v>
      </c>
      <c r="D686" s="19">
        <v>202500519</v>
      </c>
      <c r="E686">
        <v>38</v>
      </c>
      <c r="F686" t="e">
        <f>Tabela1[[#This Row],[Total de jovens na turma ]]*3</f>
        <v>#N/A</v>
      </c>
      <c r="G686" s="37" t="e">
        <f t="shared" si="22"/>
        <v>#N/A</v>
      </c>
      <c r="H686" s="24">
        <v>6</v>
      </c>
    </row>
    <row r="687" spans="1:8" hidden="1">
      <c r="A687" s="32"/>
      <c r="B687" s="32"/>
      <c r="C687" s="33" t="e">
        <f t="shared" si="21"/>
        <v>#N/A</v>
      </c>
      <c r="D687" s="18">
        <v>202500519</v>
      </c>
      <c r="E687">
        <v>38</v>
      </c>
      <c r="F687" t="e">
        <f>Tabela1[[#This Row],[Total de jovens na turma ]]*3</f>
        <v>#N/A</v>
      </c>
      <c r="G687" s="37" t="e">
        <f t="shared" si="22"/>
        <v>#N/A</v>
      </c>
      <c r="H687" s="24">
        <v>6</v>
      </c>
    </row>
    <row r="688" spans="1:8" hidden="1">
      <c r="A688" s="32"/>
      <c r="B688" s="32"/>
      <c r="C688" s="33" t="e">
        <f t="shared" si="21"/>
        <v>#N/A</v>
      </c>
      <c r="D688" s="19">
        <v>202500519</v>
      </c>
      <c r="E688">
        <v>38</v>
      </c>
      <c r="F688" t="e">
        <f>Tabela1[[#This Row],[Total de jovens na turma ]]*3</f>
        <v>#N/A</v>
      </c>
      <c r="G688" s="37" t="e">
        <f t="shared" si="22"/>
        <v>#N/A</v>
      </c>
      <c r="H688" s="24">
        <v>6</v>
      </c>
    </row>
    <row r="689" spans="1:8" hidden="1">
      <c r="A689" s="32"/>
      <c r="B689" s="32"/>
      <c r="C689" s="33" t="e">
        <f t="shared" si="21"/>
        <v>#N/A</v>
      </c>
      <c r="D689" s="18">
        <v>202500519</v>
      </c>
      <c r="E689">
        <v>38</v>
      </c>
      <c r="F689" t="e">
        <f>Tabela1[[#This Row],[Total de jovens na turma ]]*3</f>
        <v>#N/A</v>
      </c>
      <c r="G689" s="37" t="e">
        <f t="shared" si="22"/>
        <v>#N/A</v>
      </c>
      <c r="H689" s="24">
        <v>6</v>
      </c>
    </row>
    <row r="690" spans="1:8" hidden="1">
      <c r="A690" s="32"/>
      <c r="B690" s="32"/>
      <c r="C690" s="33" t="e">
        <f t="shared" si="21"/>
        <v>#N/A</v>
      </c>
      <c r="D690" s="19">
        <v>202500519</v>
      </c>
      <c r="E690">
        <v>38</v>
      </c>
      <c r="F690" t="e">
        <f>Tabela1[[#This Row],[Total de jovens na turma ]]*3</f>
        <v>#N/A</v>
      </c>
      <c r="G690" s="37" t="e">
        <f t="shared" si="22"/>
        <v>#N/A</v>
      </c>
      <c r="H690" s="24">
        <v>6</v>
      </c>
    </row>
    <row r="691" spans="1:8" hidden="1">
      <c r="A691" s="32"/>
      <c r="B691" s="32"/>
      <c r="C691" s="33" t="e">
        <f t="shared" si="21"/>
        <v>#N/A</v>
      </c>
      <c r="D691" s="18">
        <v>202500519</v>
      </c>
      <c r="E691">
        <v>38</v>
      </c>
      <c r="F691" t="e">
        <f>Tabela1[[#This Row],[Total de jovens na turma ]]*3</f>
        <v>#N/A</v>
      </c>
      <c r="G691" s="37" t="e">
        <f t="shared" si="22"/>
        <v>#N/A</v>
      </c>
      <c r="H691" s="24">
        <v>6</v>
      </c>
    </row>
    <row r="692" spans="1:8" hidden="1">
      <c r="A692" s="32"/>
      <c r="B692" s="32"/>
      <c r="C692" s="33" t="e">
        <f t="shared" si="21"/>
        <v>#N/A</v>
      </c>
      <c r="D692" s="19">
        <v>202500519</v>
      </c>
      <c r="E692">
        <v>38</v>
      </c>
      <c r="F692" t="e">
        <f>Tabela1[[#This Row],[Total de jovens na turma ]]*3</f>
        <v>#N/A</v>
      </c>
      <c r="G692" s="37" t="e">
        <f t="shared" si="22"/>
        <v>#N/A</v>
      </c>
      <c r="H692" s="24">
        <v>6</v>
      </c>
    </row>
    <row r="693" spans="1:8" hidden="1">
      <c r="A693" s="32"/>
      <c r="B693" s="32"/>
      <c r="C693" s="33" t="e">
        <f t="shared" si="21"/>
        <v>#N/A</v>
      </c>
      <c r="D693" s="18">
        <v>202500519</v>
      </c>
      <c r="E693">
        <v>38</v>
      </c>
      <c r="F693" t="e">
        <f>Tabela1[[#This Row],[Total de jovens na turma ]]*3</f>
        <v>#N/A</v>
      </c>
      <c r="G693" s="37" t="e">
        <f t="shared" si="22"/>
        <v>#N/A</v>
      </c>
      <c r="H693" s="24">
        <v>6</v>
      </c>
    </row>
    <row r="694" spans="1:8" hidden="1">
      <c r="A694" s="32"/>
      <c r="B694" s="32"/>
      <c r="C694" s="33" t="e">
        <f t="shared" si="21"/>
        <v>#N/A</v>
      </c>
      <c r="D694" s="19">
        <v>202500519</v>
      </c>
      <c r="E694">
        <v>38</v>
      </c>
      <c r="F694" t="e">
        <f>Tabela1[[#This Row],[Total de jovens na turma ]]*3</f>
        <v>#N/A</v>
      </c>
      <c r="G694" s="37" t="e">
        <f t="shared" si="22"/>
        <v>#N/A</v>
      </c>
      <c r="H694" s="24">
        <v>6</v>
      </c>
    </row>
    <row r="695" spans="1:8" hidden="1">
      <c r="A695" s="32"/>
      <c r="B695" s="32"/>
      <c r="C695" s="33" t="e">
        <f t="shared" si="21"/>
        <v>#N/A</v>
      </c>
      <c r="D695" s="18">
        <v>202500519</v>
      </c>
      <c r="E695">
        <v>38</v>
      </c>
      <c r="F695" t="e">
        <f>Tabela1[[#This Row],[Total de jovens na turma ]]*3</f>
        <v>#N/A</v>
      </c>
      <c r="G695" s="37" t="e">
        <f t="shared" si="22"/>
        <v>#N/A</v>
      </c>
      <c r="H695" s="24">
        <v>6</v>
      </c>
    </row>
    <row r="696" spans="1:8" hidden="1">
      <c r="A696" s="32"/>
      <c r="B696" s="32"/>
      <c r="C696" s="33" t="e">
        <f t="shared" si="21"/>
        <v>#N/A</v>
      </c>
      <c r="D696" s="19">
        <v>202500519</v>
      </c>
      <c r="E696">
        <v>38</v>
      </c>
      <c r="F696" t="e">
        <f>Tabela1[[#This Row],[Total de jovens na turma ]]*3</f>
        <v>#N/A</v>
      </c>
      <c r="G696" s="37" t="e">
        <f t="shared" si="22"/>
        <v>#N/A</v>
      </c>
      <c r="H696" s="24">
        <v>6</v>
      </c>
    </row>
    <row r="697" spans="1:8" hidden="1">
      <c r="A697" s="32"/>
      <c r="B697" s="32"/>
      <c r="C697" s="33" t="e">
        <f t="shared" si="21"/>
        <v>#N/A</v>
      </c>
      <c r="D697" s="18">
        <v>202500519</v>
      </c>
      <c r="E697">
        <v>38</v>
      </c>
      <c r="F697" t="e">
        <f>Tabela1[[#This Row],[Total de jovens na turma ]]*3</f>
        <v>#N/A</v>
      </c>
      <c r="G697" s="37" t="e">
        <f t="shared" si="22"/>
        <v>#N/A</v>
      </c>
      <c r="H697" s="24">
        <v>6</v>
      </c>
    </row>
    <row r="698" spans="1:8" hidden="1">
      <c r="A698" s="32"/>
      <c r="B698" s="32"/>
      <c r="C698" s="33" t="e">
        <f t="shared" si="21"/>
        <v>#N/A</v>
      </c>
      <c r="D698" s="19">
        <v>202500519</v>
      </c>
      <c r="E698">
        <v>38</v>
      </c>
      <c r="F698" t="e">
        <f>Tabela1[[#This Row],[Total de jovens na turma ]]*3</f>
        <v>#N/A</v>
      </c>
      <c r="G698" s="37" t="e">
        <f t="shared" si="22"/>
        <v>#N/A</v>
      </c>
      <c r="H698" s="24">
        <v>6</v>
      </c>
    </row>
    <row r="699" spans="1:8" hidden="1">
      <c r="A699" s="32"/>
      <c r="B699" s="32"/>
      <c r="C699" s="33" t="e">
        <f t="shared" si="21"/>
        <v>#N/A</v>
      </c>
      <c r="D699" s="18">
        <v>202500520</v>
      </c>
      <c r="E699">
        <v>30</v>
      </c>
      <c r="F699" t="e">
        <f>Tabela1[[#This Row],[Total de jovens na turma ]]*3</f>
        <v>#N/A</v>
      </c>
      <c r="G699" s="37" t="e">
        <f t="shared" si="22"/>
        <v>#N/A</v>
      </c>
      <c r="H699" s="24">
        <v>6</v>
      </c>
    </row>
    <row r="700" spans="1:8" hidden="1">
      <c r="A700" s="32"/>
      <c r="B700" s="32"/>
      <c r="C700" s="33" t="e">
        <f t="shared" si="21"/>
        <v>#N/A</v>
      </c>
      <c r="D700" s="19">
        <v>202500520</v>
      </c>
      <c r="E700">
        <v>30</v>
      </c>
      <c r="F700" t="e">
        <f>Tabela1[[#This Row],[Total de jovens na turma ]]*3</f>
        <v>#N/A</v>
      </c>
      <c r="G700" s="37" t="e">
        <f t="shared" si="22"/>
        <v>#N/A</v>
      </c>
      <c r="H700" s="24">
        <v>6</v>
      </c>
    </row>
    <row r="701" spans="1:8" hidden="1">
      <c r="A701" s="32"/>
      <c r="B701" s="32"/>
      <c r="C701" s="33" t="e">
        <f t="shared" si="21"/>
        <v>#N/A</v>
      </c>
      <c r="D701" s="18">
        <v>202500520</v>
      </c>
      <c r="E701">
        <v>30</v>
      </c>
      <c r="F701" t="e">
        <f>Tabela1[[#This Row],[Total de jovens na turma ]]*3</f>
        <v>#N/A</v>
      </c>
      <c r="G701" s="37" t="e">
        <f t="shared" si="22"/>
        <v>#N/A</v>
      </c>
      <c r="H701" s="24">
        <v>6</v>
      </c>
    </row>
    <row r="702" spans="1:8" hidden="1">
      <c r="A702" s="32"/>
      <c r="B702" s="32"/>
      <c r="C702" s="33" t="e">
        <f t="shared" si="21"/>
        <v>#N/A</v>
      </c>
      <c r="D702" s="19">
        <v>202500520</v>
      </c>
      <c r="E702">
        <v>30</v>
      </c>
      <c r="F702" t="e">
        <f>Tabela1[[#This Row],[Total de jovens na turma ]]*3</f>
        <v>#N/A</v>
      </c>
      <c r="G702" s="37" t="e">
        <f t="shared" si="22"/>
        <v>#N/A</v>
      </c>
      <c r="H702" s="24">
        <v>6</v>
      </c>
    </row>
    <row r="703" spans="1:8" hidden="1">
      <c r="A703" s="32"/>
      <c r="B703" s="32"/>
      <c r="C703" s="33" t="e">
        <f t="shared" si="21"/>
        <v>#N/A</v>
      </c>
      <c r="D703" s="18">
        <v>202500520</v>
      </c>
      <c r="E703">
        <v>30</v>
      </c>
      <c r="F703" t="e">
        <f>Tabela1[[#This Row],[Total de jovens na turma ]]*3</f>
        <v>#N/A</v>
      </c>
      <c r="G703" s="37" t="e">
        <f t="shared" si="22"/>
        <v>#N/A</v>
      </c>
      <c r="H703" s="24">
        <v>6</v>
      </c>
    </row>
    <row r="704" spans="1:8" hidden="1">
      <c r="A704" s="32"/>
      <c r="B704" s="32"/>
      <c r="C704" s="33" t="e">
        <f t="shared" si="21"/>
        <v>#N/A</v>
      </c>
      <c r="D704" s="19">
        <v>202500520</v>
      </c>
      <c r="E704">
        <v>30</v>
      </c>
      <c r="F704" t="e">
        <f>Tabela1[[#This Row],[Total de jovens na turma ]]*3</f>
        <v>#N/A</v>
      </c>
      <c r="G704" s="37" t="e">
        <f t="shared" si="22"/>
        <v>#N/A</v>
      </c>
      <c r="H704" s="24">
        <v>6</v>
      </c>
    </row>
    <row r="705" spans="1:8" hidden="1">
      <c r="A705" s="32"/>
      <c r="B705" s="32"/>
      <c r="C705" s="33" t="e">
        <f t="shared" si="21"/>
        <v>#N/A</v>
      </c>
      <c r="D705" s="18">
        <v>202500521</v>
      </c>
      <c r="E705">
        <v>27</v>
      </c>
      <c r="F705" t="e">
        <f>Tabela1[[#This Row],[Total de jovens na turma ]]*3</f>
        <v>#N/A</v>
      </c>
      <c r="G705" s="37" t="e">
        <f t="shared" si="22"/>
        <v>#N/A</v>
      </c>
      <c r="H705" s="24">
        <v>6</v>
      </c>
    </row>
    <row r="706" spans="1:8" hidden="1">
      <c r="A706" s="32"/>
      <c r="B706" s="32"/>
      <c r="C706" s="33" t="e">
        <f t="shared" si="21"/>
        <v>#N/A</v>
      </c>
      <c r="D706" s="19">
        <v>202500519</v>
      </c>
      <c r="E706">
        <v>38</v>
      </c>
      <c r="F706" t="e">
        <f>Tabela1[[#This Row],[Total de jovens na turma ]]*3</f>
        <v>#N/A</v>
      </c>
      <c r="G706" s="37" t="e">
        <f t="shared" si="22"/>
        <v>#N/A</v>
      </c>
      <c r="H706" s="24">
        <v>6</v>
      </c>
    </row>
    <row r="707" spans="1:8" hidden="1">
      <c r="A707" s="32"/>
      <c r="B707" s="32"/>
      <c r="C707" s="33" t="e">
        <f t="shared" si="21"/>
        <v>#N/A</v>
      </c>
      <c r="D707" s="18">
        <v>202500519</v>
      </c>
      <c r="E707">
        <v>38</v>
      </c>
      <c r="F707" t="e">
        <f>Tabela1[[#This Row],[Total de jovens na turma ]]*3</f>
        <v>#N/A</v>
      </c>
      <c r="G707" s="37" t="e">
        <f t="shared" si="22"/>
        <v>#N/A</v>
      </c>
      <c r="H707" s="24">
        <v>6</v>
      </c>
    </row>
    <row r="708" spans="1:8" hidden="1">
      <c r="A708" s="32"/>
      <c r="B708" s="32"/>
      <c r="C708" s="33" t="e">
        <f t="shared" si="21"/>
        <v>#N/A</v>
      </c>
      <c r="D708" s="19">
        <v>202500519</v>
      </c>
      <c r="E708">
        <v>38</v>
      </c>
      <c r="F708" t="e">
        <f>Tabela1[[#This Row],[Total de jovens na turma ]]*3</f>
        <v>#N/A</v>
      </c>
      <c r="G708" s="37" t="e">
        <f t="shared" si="22"/>
        <v>#N/A</v>
      </c>
      <c r="H708" s="24">
        <v>6</v>
      </c>
    </row>
    <row r="709" spans="1:8" hidden="1">
      <c r="A709" s="32"/>
      <c r="B709" s="32"/>
      <c r="C709" s="33" t="e">
        <f t="shared" ref="C709:C772" si="23">VLOOKUP(A709,D:E,2,0)</f>
        <v>#N/A</v>
      </c>
      <c r="D709" s="18">
        <v>202500520</v>
      </c>
      <c r="E709">
        <v>30</v>
      </c>
      <c r="F709" t="e">
        <f>Tabela1[[#This Row],[Total de jovens na turma ]]*3</f>
        <v>#N/A</v>
      </c>
      <c r="G709" s="37" t="e">
        <f t="shared" si="22"/>
        <v>#N/A</v>
      </c>
      <c r="H709" s="24">
        <v>6</v>
      </c>
    </row>
    <row r="710" spans="1:8" hidden="1">
      <c r="A710" s="32"/>
      <c r="B710" s="32"/>
      <c r="C710" s="33" t="e">
        <f t="shared" si="23"/>
        <v>#N/A</v>
      </c>
      <c r="D710" s="19">
        <v>202500521</v>
      </c>
      <c r="E710">
        <v>27</v>
      </c>
      <c r="F710" t="e">
        <f>Tabela1[[#This Row],[Total de jovens na turma ]]*3</f>
        <v>#N/A</v>
      </c>
      <c r="G710" s="37" t="e">
        <f t="shared" si="22"/>
        <v>#N/A</v>
      </c>
      <c r="H710" s="24">
        <v>6</v>
      </c>
    </row>
    <row r="711" spans="1:8" hidden="1">
      <c r="A711" s="32"/>
      <c r="B711" s="32"/>
      <c r="C711" s="33" t="e">
        <f t="shared" si="23"/>
        <v>#N/A</v>
      </c>
      <c r="D711" s="18">
        <v>202500519</v>
      </c>
      <c r="E711">
        <v>38</v>
      </c>
      <c r="F711" t="e">
        <f>Tabela1[[#This Row],[Total de jovens na turma ]]*3</f>
        <v>#N/A</v>
      </c>
      <c r="G711" s="37" t="e">
        <f t="shared" ref="G711:G774" si="24">F711/24</f>
        <v>#N/A</v>
      </c>
      <c r="H711" s="24">
        <v>6</v>
      </c>
    </row>
    <row r="712" spans="1:8" hidden="1">
      <c r="A712" s="32"/>
      <c r="B712" s="32"/>
      <c r="C712" s="33" t="e">
        <f t="shared" si="23"/>
        <v>#N/A</v>
      </c>
      <c r="D712" s="19">
        <v>202500519</v>
      </c>
      <c r="E712">
        <v>38</v>
      </c>
      <c r="F712" t="e">
        <f>Tabela1[[#This Row],[Total de jovens na turma ]]*3</f>
        <v>#N/A</v>
      </c>
      <c r="G712" s="37" t="e">
        <f t="shared" si="24"/>
        <v>#N/A</v>
      </c>
      <c r="H712" s="24">
        <v>6</v>
      </c>
    </row>
    <row r="713" spans="1:8" hidden="1">
      <c r="A713" s="32"/>
      <c r="B713" s="32"/>
      <c r="C713" s="33" t="e">
        <f t="shared" si="23"/>
        <v>#N/A</v>
      </c>
      <c r="D713" s="18">
        <v>202500520</v>
      </c>
      <c r="E713">
        <v>30</v>
      </c>
      <c r="F713" t="e">
        <f>Tabela1[[#This Row],[Total de jovens na turma ]]*3</f>
        <v>#N/A</v>
      </c>
      <c r="G713" s="37" t="e">
        <f t="shared" si="24"/>
        <v>#N/A</v>
      </c>
      <c r="H713" s="24">
        <v>6</v>
      </c>
    </row>
    <row r="714" spans="1:8" hidden="1">
      <c r="A714" s="32"/>
      <c r="B714" s="32"/>
      <c r="C714" s="33" t="e">
        <f t="shared" si="23"/>
        <v>#N/A</v>
      </c>
      <c r="D714" s="19">
        <v>202500519</v>
      </c>
      <c r="E714">
        <v>38</v>
      </c>
      <c r="F714" t="e">
        <f>Tabela1[[#This Row],[Total de jovens na turma ]]*3</f>
        <v>#N/A</v>
      </c>
      <c r="G714" s="37" t="e">
        <f t="shared" si="24"/>
        <v>#N/A</v>
      </c>
      <c r="H714" s="24">
        <v>6</v>
      </c>
    </row>
    <row r="715" spans="1:8" hidden="1">
      <c r="A715" s="32"/>
      <c r="B715" s="32"/>
      <c r="C715" s="33" t="e">
        <f t="shared" si="23"/>
        <v>#N/A</v>
      </c>
      <c r="D715" s="18">
        <v>202500519</v>
      </c>
      <c r="E715">
        <v>38</v>
      </c>
      <c r="F715" t="e">
        <f>Tabela1[[#This Row],[Total de jovens na turma ]]*3</f>
        <v>#N/A</v>
      </c>
      <c r="G715" s="37" t="e">
        <f t="shared" si="24"/>
        <v>#N/A</v>
      </c>
      <c r="H715" s="24">
        <v>6</v>
      </c>
    </row>
    <row r="716" spans="1:8" hidden="1">
      <c r="A716" s="32"/>
      <c r="B716" s="32"/>
      <c r="C716" s="33" t="e">
        <f t="shared" si="23"/>
        <v>#N/A</v>
      </c>
      <c r="D716" s="19">
        <v>202500519</v>
      </c>
      <c r="E716">
        <v>38</v>
      </c>
      <c r="F716" t="e">
        <f>Tabela1[[#This Row],[Total de jovens na turma ]]*3</f>
        <v>#N/A</v>
      </c>
      <c r="G716" s="37" t="e">
        <f t="shared" si="24"/>
        <v>#N/A</v>
      </c>
      <c r="H716" s="24">
        <v>6</v>
      </c>
    </row>
    <row r="717" spans="1:8" hidden="1">
      <c r="A717" s="32"/>
      <c r="B717" s="32"/>
      <c r="C717" s="33" t="e">
        <f t="shared" si="23"/>
        <v>#N/A</v>
      </c>
      <c r="D717" s="18">
        <v>202500520</v>
      </c>
      <c r="E717">
        <v>30</v>
      </c>
      <c r="F717" t="e">
        <f>Tabela1[[#This Row],[Total de jovens na turma ]]*3</f>
        <v>#N/A</v>
      </c>
      <c r="G717" s="37" t="e">
        <f t="shared" si="24"/>
        <v>#N/A</v>
      </c>
      <c r="H717" s="24">
        <v>6</v>
      </c>
    </row>
    <row r="718" spans="1:8" hidden="1">
      <c r="A718" s="32"/>
      <c r="B718" s="32"/>
      <c r="C718" s="33" t="e">
        <f t="shared" si="23"/>
        <v>#N/A</v>
      </c>
      <c r="D718" s="19">
        <v>202500520</v>
      </c>
      <c r="E718">
        <v>30</v>
      </c>
      <c r="F718" t="e">
        <f>Tabela1[[#This Row],[Total de jovens na turma ]]*3</f>
        <v>#N/A</v>
      </c>
      <c r="G718" s="37" t="e">
        <f t="shared" si="24"/>
        <v>#N/A</v>
      </c>
      <c r="H718" s="24">
        <v>6</v>
      </c>
    </row>
    <row r="719" spans="1:8" hidden="1">
      <c r="A719" s="32"/>
      <c r="B719" s="32"/>
      <c r="C719" s="33" t="e">
        <f t="shared" si="23"/>
        <v>#N/A</v>
      </c>
      <c r="D719" s="18">
        <v>202500519</v>
      </c>
      <c r="E719">
        <v>38</v>
      </c>
      <c r="F719" t="e">
        <f>Tabela1[[#This Row],[Total de jovens na turma ]]*3</f>
        <v>#N/A</v>
      </c>
      <c r="G719" s="37" t="e">
        <f t="shared" si="24"/>
        <v>#N/A</v>
      </c>
      <c r="H719" s="24">
        <v>6</v>
      </c>
    </row>
    <row r="720" spans="1:8" hidden="1">
      <c r="A720" s="32"/>
      <c r="B720" s="32"/>
      <c r="C720" s="33" t="e">
        <f t="shared" si="23"/>
        <v>#N/A</v>
      </c>
      <c r="D720" s="19">
        <v>202500519</v>
      </c>
      <c r="E720">
        <v>38</v>
      </c>
      <c r="F720" t="e">
        <f>Tabela1[[#This Row],[Total de jovens na turma ]]*3</f>
        <v>#N/A</v>
      </c>
      <c r="G720" s="37" t="e">
        <f t="shared" si="24"/>
        <v>#N/A</v>
      </c>
      <c r="H720" s="24">
        <v>6</v>
      </c>
    </row>
    <row r="721" spans="1:8" hidden="1">
      <c r="A721" s="32"/>
      <c r="B721" s="32"/>
      <c r="C721" s="33" t="e">
        <f t="shared" si="23"/>
        <v>#N/A</v>
      </c>
      <c r="D721" s="18">
        <v>202500519</v>
      </c>
      <c r="E721">
        <v>38</v>
      </c>
      <c r="F721" t="e">
        <f>Tabela1[[#This Row],[Total de jovens na turma ]]*3</f>
        <v>#N/A</v>
      </c>
      <c r="G721" s="37" t="e">
        <f t="shared" si="24"/>
        <v>#N/A</v>
      </c>
      <c r="H721" s="24">
        <v>6</v>
      </c>
    </row>
    <row r="722" spans="1:8" hidden="1">
      <c r="A722" s="32"/>
      <c r="B722" s="32"/>
      <c r="C722" s="33" t="e">
        <f t="shared" si="23"/>
        <v>#N/A</v>
      </c>
      <c r="D722" s="19">
        <v>202500520</v>
      </c>
      <c r="E722">
        <v>30</v>
      </c>
      <c r="F722" t="e">
        <f>Tabela1[[#This Row],[Total de jovens na turma ]]*3</f>
        <v>#N/A</v>
      </c>
      <c r="G722" s="37" t="e">
        <f t="shared" si="24"/>
        <v>#N/A</v>
      </c>
      <c r="H722" s="24">
        <v>6</v>
      </c>
    </row>
    <row r="723" spans="1:8" hidden="1">
      <c r="A723" s="32"/>
      <c r="B723" s="32"/>
      <c r="C723" s="33" t="e">
        <f t="shared" si="23"/>
        <v>#N/A</v>
      </c>
      <c r="D723" s="18">
        <v>202500520</v>
      </c>
      <c r="E723">
        <v>30</v>
      </c>
      <c r="F723" t="e">
        <f>Tabela1[[#This Row],[Total de jovens na turma ]]*3</f>
        <v>#N/A</v>
      </c>
      <c r="G723" s="37" t="e">
        <f t="shared" si="24"/>
        <v>#N/A</v>
      </c>
      <c r="H723" s="24">
        <v>6</v>
      </c>
    </row>
    <row r="724" spans="1:8" hidden="1">
      <c r="A724" s="32"/>
      <c r="B724" s="32"/>
      <c r="C724" s="33" t="e">
        <f t="shared" si="23"/>
        <v>#N/A</v>
      </c>
      <c r="D724" s="19">
        <v>202500519</v>
      </c>
      <c r="E724">
        <v>38</v>
      </c>
      <c r="F724" t="e">
        <f>Tabela1[[#This Row],[Total de jovens na turma ]]*3</f>
        <v>#N/A</v>
      </c>
      <c r="G724" s="37" t="e">
        <f t="shared" si="24"/>
        <v>#N/A</v>
      </c>
      <c r="H724" s="24">
        <v>6</v>
      </c>
    </row>
    <row r="725" spans="1:8" hidden="1">
      <c r="A725" s="32"/>
      <c r="B725" s="32"/>
      <c r="C725" s="33" t="e">
        <f t="shared" si="23"/>
        <v>#N/A</v>
      </c>
      <c r="D725" s="18">
        <v>202500520</v>
      </c>
      <c r="E725">
        <v>30</v>
      </c>
      <c r="F725" t="e">
        <f>Tabela1[[#This Row],[Total de jovens na turma ]]*3</f>
        <v>#N/A</v>
      </c>
      <c r="G725" s="37" t="e">
        <f t="shared" si="24"/>
        <v>#N/A</v>
      </c>
      <c r="H725" s="24">
        <v>6</v>
      </c>
    </row>
    <row r="726" spans="1:8" hidden="1">
      <c r="A726" s="32"/>
      <c r="B726" s="32"/>
      <c r="C726" s="33" t="e">
        <f t="shared" si="23"/>
        <v>#N/A</v>
      </c>
      <c r="D726" s="19">
        <v>202500519</v>
      </c>
      <c r="E726">
        <v>38</v>
      </c>
      <c r="F726" t="e">
        <f>Tabela1[[#This Row],[Total de jovens na turma ]]*3</f>
        <v>#N/A</v>
      </c>
      <c r="G726" s="37" t="e">
        <f t="shared" si="24"/>
        <v>#N/A</v>
      </c>
      <c r="H726" s="24">
        <v>6</v>
      </c>
    </row>
    <row r="727" spans="1:8" hidden="1">
      <c r="A727" s="32"/>
      <c r="B727" s="32"/>
      <c r="C727" s="33" t="e">
        <f t="shared" si="23"/>
        <v>#N/A</v>
      </c>
      <c r="D727" s="18">
        <v>202500521</v>
      </c>
      <c r="E727">
        <v>27</v>
      </c>
      <c r="F727" t="e">
        <f>Tabela1[[#This Row],[Total de jovens na turma ]]*3</f>
        <v>#N/A</v>
      </c>
      <c r="G727" s="37" t="e">
        <f t="shared" si="24"/>
        <v>#N/A</v>
      </c>
      <c r="H727" s="24">
        <v>6</v>
      </c>
    </row>
    <row r="728" spans="1:8" hidden="1">
      <c r="A728" s="32"/>
      <c r="B728" s="32"/>
      <c r="C728" s="33" t="e">
        <f t="shared" si="23"/>
        <v>#N/A</v>
      </c>
      <c r="D728" s="19">
        <v>202500521</v>
      </c>
      <c r="E728">
        <v>27</v>
      </c>
      <c r="F728" t="e">
        <f>Tabela1[[#This Row],[Total de jovens na turma ]]*3</f>
        <v>#N/A</v>
      </c>
      <c r="G728" s="37" t="e">
        <f t="shared" si="24"/>
        <v>#N/A</v>
      </c>
      <c r="H728" s="24">
        <v>6</v>
      </c>
    </row>
    <row r="729" spans="1:8" hidden="1">
      <c r="A729" s="32"/>
      <c r="B729" s="32"/>
      <c r="C729" s="33" t="e">
        <f t="shared" si="23"/>
        <v>#N/A</v>
      </c>
      <c r="D729" s="18">
        <v>202500521</v>
      </c>
      <c r="E729">
        <v>27</v>
      </c>
      <c r="F729" t="e">
        <f>Tabela1[[#This Row],[Total de jovens na turma ]]*3</f>
        <v>#N/A</v>
      </c>
      <c r="G729" s="37" t="e">
        <f t="shared" si="24"/>
        <v>#N/A</v>
      </c>
      <c r="H729" s="24">
        <v>6</v>
      </c>
    </row>
    <row r="730" spans="1:8" hidden="1">
      <c r="A730" s="32"/>
      <c r="B730" s="32"/>
      <c r="C730" s="33" t="e">
        <f t="shared" si="23"/>
        <v>#N/A</v>
      </c>
      <c r="D730" s="19">
        <v>202500519</v>
      </c>
      <c r="E730">
        <v>38</v>
      </c>
      <c r="F730" t="e">
        <f>Tabela1[[#This Row],[Total de jovens na turma ]]*3</f>
        <v>#N/A</v>
      </c>
      <c r="G730" s="37" t="e">
        <f t="shared" si="24"/>
        <v>#N/A</v>
      </c>
      <c r="H730" s="24">
        <v>6</v>
      </c>
    </row>
    <row r="731" spans="1:8" hidden="1">
      <c r="A731" s="32"/>
      <c r="B731" s="32"/>
      <c r="C731" s="33" t="e">
        <f t="shared" si="23"/>
        <v>#N/A</v>
      </c>
      <c r="D731" s="18">
        <v>202500520</v>
      </c>
      <c r="E731">
        <v>30</v>
      </c>
      <c r="F731" t="e">
        <f>Tabela1[[#This Row],[Total de jovens na turma ]]*3</f>
        <v>#N/A</v>
      </c>
      <c r="G731" s="37" t="e">
        <f t="shared" si="24"/>
        <v>#N/A</v>
      </c>
      <c r="H731" s="24">
        <v>6</v>
      </c>
    </row>
    <row r="732" spans="1:8" hidden="1">
      <c r="A732" s="32"/>
      <c r="B732" s="32"/>
      <c r="C732" s="33" t="e">
        <f t="shared" si="23"/>
        <v>#N/A</v>
      </c>
      <c r="D732" s="19">
        <v>202500520</v>
      </c>
      <c r="E732">
        <v>30</v>
      </c>
      <c r="F732" t="e">
        <f>Tabela1[[#This Row],[Total de jovens na turma ]]*3</f>
        <v>#N/A</v>
      </c>
      <c r="G732" s="37" t="e">
        <f t="shared" si="24"/>
        <v>#N/A</v>
      </c>
      <c r="H732" s="24">
        <v>6</v>
      </c>
    </row>
    <row r="733" spans="1:8" hidden="1">
      <c r="A733" s="32"/>
      <c r="B733" s="32"/>
      <c r="C733" s="33" t="e">
        <f t="shared" si="23"/>
        <v>#N/A</v>
      </c>
      <c r="D733" s="18">
        <v>202500520</v>
      </c>
      <c r="E733">
        <v>30</v>
      </c>
      <c r="F733" t="e">
        <f>Tabela1[[#This Row],[Total de jovens na turma ]]*3</f>
        <v>#N/A</v>
      </c>
      <c r="G733" s="37" t="e">
        <f t="shared" si="24"/>
        <v>#N/A</v>
      </c>
      <c r="H733" s="24">
        <v>6</v>
      </c>
    </row>
    <row r="734" spans="1:8" hidden="1">
      <c r="A734" s="32"/>
      <c r="B734" s="32"/>
      <c r="C734" s="33" t="e">
        <f t="shared" si="23"/>
        <v>#N/A</v>
      </c>
      <c r="D734" s="19">
        <v>202500520</v>
      </c>
      <c r="E734">
        <v>30</v>
      </c>
      <c r="F734" t="e">
        <f>Tabela1[[#This Row],[Total de jovens na turma ]]*3</f>
        <v>#N/A</v>
      </c>
      <c r="G734" s="37" t="e">
        <f t="shared" si="24"/>
        <v>#N/A</v>
      </c>
      <c r="H734" s="24">
        <v>6</v>
      </c>
    </row>
    <row r="735" spans="1:8" hidden="1">
      <c r="A735" s="32"/>
      <c r="B735" s="32"/>
      <c r="C735" s="33" t="e">
        <f t="shared" si="23"/>
        <v>#N/A</v>
      </c>
      <c r="D735" s="18">
        <v>202500520</v>
      </c>
      <c r="E735">
        <v>30</v>
      </c>
      <c r="F735" t="e">
        <f>Tabela1[[#This Row],[Total de jovens na turma ]]*3</f>
        <v>#N/A</v>
      </c>
      <c r="G735" s="37" t="e">
        <f t="shared" si="24"/>
        <v>#N/A</v>
      </c>
      <c r="H735" s="24">
        <v>6</v>
      </c>
    </row>
    <row r="736" spans="1:8" hidden="1">
      <c r="A736" s="32"/>
      <c r="B736" s="32"/>
      <c r="C736" s="33" t="e">
        <f t="shared" si="23"/>
        <v>#N/A</v>
      </c>
      <c r="D736" s="19">
        <v>202500521</v>
      </c>
      <c r="E736">
        <v>27</v>
      </c>
      <c r="F736" t="e">
        <f>Tabela1[[#This Row],[Total de jovens na turma ]]*3</f>
        <v>#N/A</v>
      </c>
      <c r="G736" s="37" t="e">
        <f t="shared" si="24"/>
        <v>#N/A</v>
      </c>
      <c r="H736" s="24">
        <v>6</v>
      </c>
    </row>
    <row r="737" spans="1:8" hidden="1">
      <c r="A737" s="32"/>
      <c r="B737" s="32"/>
      <c r="C737" s="33" t="e">
        <f t="shared" si="23"/>
        <v>#N/A</v>
      </c>
      <c r="D737" s="18">
        <v>202500521</v>
      </c>
      <c r="E737">
        <v>27</v>
      </c>
      <c r="F737" t="e">
        <f>Tabela1[[#This Row],[Total de jovens na turma ]]*3</f>
        <v>#N/A</v>
      </c>
      <c r="G737" s="37" t="e">
        <f t="shared" si="24"/>
        <v>#N/A</v>
      </c>
      <c r="H737" s="24">
        <v>6</v>
      </c>
    </row>
    <row r="738" spans="1:8" hidden="1">
      <c r="A738" s="32"/>
      <c r="B738" s="32"/>
      <c r="C738" s="33" t="e">
        <f t="shared" si="23"/>
        <v>#N/A</v>
      </c>
      <c r="D738" s="19">
        <v>202500521</v>
      </c>
      <c r="E738">
        <v>27</v>
      </c>
      <c r="F738" t="e">
        <f>Tabela1[[#This Row],[Total de jovens na turma ]]*3</f>
        <v>#N/A</v>
      </c>
      <c r="G738" s="37" t="e">
        <f t="shared" si="24"/>
        <v>#N/A</v>
      </c>
      <c r="H738" s="24">
        <v>6</v>
      </c>
    </row>
    <row r="739" spans="1:8" hidden="1">
      <c r="A739" s="32"/>
      <c r="B739" s="32"/>
      <c r="C739" s="33" t="e">
        <f t="shared" si="23"/>
        <v>#N/A</v>
      </c>
      <c r="D739" s="18">
        <v>202500521</v>
      </c>
      <c r="E739">
        <v>27</v>
      </c>
      <c r="F739" t="e">
        <f>Tabela1[[#This Row],[Total de jovens na turma ]]*3</f>
        <v>#N/A</v>
      </c>
      <c r="G739" s="37" t="e">
        <f t="shared" si="24"/>
        <v>#N/A</v>
      </c>
      <c r="H739" s="24">
        <v>6</v>
      </c>
    </row>
    <row r="740" spans="1:8" hidden="1">
      <c r="A740" s="32"/>
      <c r="B740" s="32"/>
      <c r="C740" s="33" t="e">
        <f t="shared" si="23"/>
        <v>#N/A</v>
      </c>
      <c r="D740" s="19">
        <v>202500521</v>
      </c>
      <c r="E740">
        <v>27</v>
      </c>
      <c r="F740" t="e">
        <f>Tabela1[[#This Row],[Total de jovens na turma ]]*3</f>
        <v>#N/A</v>
      </c>
      <c r="G740" s="37" t="e">
        <f t="shared" si="24"/>
        <v>#N/A</v>
      </c>
      <c r="H740" s="24">
        <v>6</v>
      </c>
    </row>
    <row r="741" spans="1:8" hidden="1">
      <c r="A741" s="32"/>
      <c r="B741" s="32"/>
      <c r="C741" s="33" t="e">
        <f t="shared" si="23"/>
        <v>#N/A</v>
      </c>
      <c r="D741" s="18">
        <v>202500521</v>
      </c>
      <c r="E741">
        <v>27</v>
      </c>
      <c r="F741" t="e">
        <f>Tabela1[[#This Row],[Total de jovens na turma ]]*3</f>
        <v>#N/A</v>
      </c>
      <c r="G741" s="37" t="e">
        <f t="shared" si="24"/>
        <v>#N/A</v>
      </c>
      <c r="H741" s="24">
        <v>6</v>
      </c>
    </row>
    <row r="742" spans="1:8" hidden="1">
      <c r="A742" s="32"/>
      <c r="B742" s="32"/>
      <c r="C742" s="33" t="e">
        <f t="shared" si="23"/>
        <v>#N/A</v>
      </c>
      <c r="D742" s="19">
        <v>202500521</v>
      </c>
      <c r="E742">
        <v>27</v>
      </c>
      <c r="F742" t="e">
        <f>Tabela1[[#This Row],[Total de jovens na turma ]]*3</f>
        <v>#N/A</v>
      </c>
      <c r="G742" s="37" t="e">
        <f t="shared" si="24"/>
        <v>#N/A</v>
      </c>
      <c r="H742" s="24">
        <v>6</v>
      </c>
    </row>
    <row r="743" spans="1:8" hidden="1">
      <c r="A743" s="32"/>
      <c r="B743" s="32"/>
      <c r="C743" s="33" t="e">
        <f t="shared" si="23"/>
        <v>#N/A</v>
      </c>
      <c r="D743" s="18">
        <v>202500521</v>
      </c>
      <c r="E743">
        <v>27</v>
      </c>
      <c r="F743" t="e">
        <f>Tabela1[[#This Row],[Total de jovens na turma ]]*3</f>
        <v>#N/A</v>
      </c>
      <c r="G743" s="37" t="e">
        <f t="shared" si="24"/>
        <v>#N/A</v>
      </c>
      <c r="H743" s="24">
        <v>6</v>
      </c>
    </row>
    <row r="744" spans="1:8" hidden="1">
      <c r="A744" s="32"/>
      <c r="B744" s="32"/>
      <c r="C744" s="33" t="e">
        <f t="shared" si="23"/>
        <v>#N/A</v>
      </c>
      <c r="D744" s="19">
        <v>202500519</v>
      </c>
      <c r="E744">
        <v>38</v>
      </c>
      <c r="F744" t="e">
        <f>Tabela1[[#This Row],[Total de jovens na turma ]]*3</f>
        <v>#N/A</v>
      </c>
      <c r="G744" s="37" t="e">
        <f t="shared" si="24"/>
        <v>#N/A</v>
      </c>
      <c r="H744" s="24">
        <v>6</v>
      </c>
    </row>
    <row r="745" spans="1:8" hidden="1">
      <c r="A745" s="32"/>
      <c r="B745" s="32"/>
      <c r="C745" s="33" t="e">
        <f t="shared" si="23"/>
        <v>#N/A</v>
      </c>
      <c r="D745" s="18">
        <v>202500519</v>
      </c>
      <c r="E745">
        <v>38</v>
      </c>
      <c r="F745" t="e">
        <f>Tabela1[[#This Row],[Total de jovens na turma ]]*3</f>
        <v>#N/A</v>
      </c>
      <c r="G745" s="37" t="e">
        <f t="shared" si="24"/>
        <v>#N/A</v>
      </c>
      <c r="H745" s="24">
        <v>6</v>
      </c>
    </row>
    <row r="746" spans="1:8" hidden="1">
      <c r="A746" s="32"/>
      <c r="B746" s="32"/>
      <c r="C746" s="33" t="e">
        <f t="shared" si="23"/>
        <v>#N/A</v>
      </c>
      <c r="D746" s="19">
        <v>202500519</v>
      </c>
      <c r="E746">
        <v>38</v>
      </c>
      <c r="F746" t="e">
        <f>Tabela1[[#This Row],[Total de jovens na turma ]]*3</f>
        <v>#N/A</v>
      </c>
      <c r="G746" s="37" t="e">
        <f t="shared" si="24"/>
        <v>#N/A</v>
      </c>
      <c r="H746" s="24">
        <v>6</v>
      </c>
    </row>
    <row r="747" spans="1:8" hidden="1">
      <c r="A747" s="32"/>
      <c r="B747" s="32"/>
      <c r="C747" s="33" t="e">
        <f t="shared" si="23"/>
        <v>#N/A</v>
      </c>
      <c r="D747" s="18">
        <v>202500519</v>
      </c>
      <c r="E747">
        <v>38</v>
      </c>
      <c r="F747" t="e">
        <f>Tabela1[[#This Row],[Total de jovens na turma ]]*3</f>
        <v>#N/A</v>
      </c>
      <c r="G747" s="37" t="e">
        <f t="shared" si="24"/>
        <v>#N/A</v>
      </c>
      <c r="H747" s="24">
        <v>6</v>
      </c>
    </row>
    <row r="748" spans="1:8" hidden="1">
      <c r="A748" s="32"/>
      <c r="B748" s="32"/>
      <c r="C748" s="33" t="e">
        <f t="shared" si="23"/>
        <v>#N/A</v>
      </c>
      <c r="D748" s="19">
        <v>202500519</v>
      </c>
      <c r="E748">
        <v>38</v>
      </c>
      <c r="F748" t="e">
        <f>Tabela1[[#This Row],[Total de jovens na turma ]]*3</f>
        <v>#N/A</v>
      </c>
      <c r="G748" s="37" t="e">
        <f t="shared" si="24"/>
        <v>#N/A</v>
      </c>
      <c r="H748" s="24">
        <v>6</v>
      </c>
    </row>
    <row r="749" spans="1:8" hidden="1">
      <c r="A749" s="32"/>
      <c r="B749" s="32"/>
      <c r="C749" s="33" t="e">
        <f t="shared" si="23"/>
        <v>#N/A</v>
      </c>
      <c r="D749" s="18">
        <v>202500519</v>
      </c>
      <c r="E749">
        <v>38</v>
      </c>
      <c r="F749" t="e">
        <f>Tabela1[[#This Row],[Total de jovens na turma ]]*3</f>
        <v>#N/A</v>
      </c>
      <c r="G749" s="37" t="e">
        <f t="shared" si="24"/>
        <v>#N/A</v>
      </c>
      <c r="H749" s="24">
        <v>6</v>
      </c>
    </row>
    <row r="750" spans="1:8" hidden="1">
      <c r="A750" s="32"/>
      <c r="B750" s="32"/>
      <c r="C750" s="33" t="e">
        <f t="shared" si="23"/>
        <v>#N/A</v>
      </c>
      <c r="D750" s="19">
        <v>202500519</v>
      </c>
      <c r="E750">
        <v>38</v>
      </c>
      <c r="F750" t="e">
        <f>Tabela1[[#This Row],[Total de jovens na turma ]]*3</f>
        <v>#N/A</v>
      </c>
      <c r="G750" s="37" t="e">
        <f t="shared" si="24"/>
        <v>#N/A</v>
      </c>
      <c r="H750" s="24">
        <v>6</v>
      </c>
    </row>
    <row r="751" spans="1:8" hidden="1">
      <c r="A751" s="32"/>
      <c r="B751" s="32"/>
      <c r="C751" s="33" t="e">
        <f t="shared" si="23"/>
        <v>#N/A</v>
      </c>
      <c r="D751" s="18">
        <v>202500519</v>
      </c>
      <c r="E751">
        <v>38</v>
      </c>
      <c r="F751" t="e">
        <f>Tabela1[[#This Row],[Total de jovens na turma ]]*3</f>
        <v>#N/A</v>
      </c>
      <c r="G751" s="37" t="e">
        <f t="shared" si="24"/>
        <v>#N/A</v>
      </c>
      <c r="H751" s="24">
        <v>6</v>
      </c>
    </row>
    <row r="752" spans="1:8" hidden="1">
      <c r="A752" s="32"/>
      <c r="B752" s="32"/>
      <c r="C752" s="33" t="e">
        <f t="shared" si="23"/>
        <v>#N/A</v>
      </c>
      <c r="D752" s="19">
        <v>202500520</v>
      </c>
      <c r="E752">
        <v>30</v>
      </c>
      <c r="F752" t="e">
        <f>Tabela1[[#This Row],[Total de jovens na turma ]]*3</f>
        <v>#N/A</v>
      </c>
      <c r="G752" s="37" t="e">
        <f t="shared" si="24"/>
        <v>#N/A</v>
      </c>
      <c r="H752" s="24">
        <v>6</v>
      </c>
    </row>
    <row r="753" spans="1:8" hidden="1">
      <c r="A753" s="32"/>
      <c r="B753" s="32"/>
      <c r="C753" s="33" t="e">
        <f t="shared" si="23"/>
        <v>#N/A</v>
      </c>
      <c r="D753" s="18">
        <v>202500521</v>
      </c>
      <c r="E753">
        <v>27</v>
      </c>
      <c r="F753" t="e">
        <f>Tabela1[[#This Row],[Total de jovens na turma ]]*3</f>
        <v>#N/A</v>
      </c>
      <c r="G753" s="37" t="e">
        <f t="shared" si="24"/>
        <v>#N/A</v>
      </c>
      <c r="H753" s="24">
        <v>6</v>
      </c>
    </row>
    <row r="754" spans="1:8" hidden="1">
      <c r="A754" s="32"/>
      <c r="B754" s="32"/>
      <c r="C754" s="33" t="e">
        <f t="shared" si="23"/>
        <v>#N/A</v>
      </c>
      <c r="D754" s="19">
        <v>202500519</v>
      </c>
      <c r="E754">
        <v>38</v>
      </c>
      <c r="F754" t="e">
        <f>Tabela1[[#This Row],[Total de jovens na turma ]]*3</f>
        <v>#N/A</v>
      </c>
      <c r="G754" s="37" t="e">
        <f t="shared" si="24"/>
        <v>#N/A</v>
      </c>
      <c r="H754" s="24">
        <v>6</v>
      </c>
    </row>
    <row r="755" spans="1:8" hidden="1">
      <c r="A755" s="32"/>
      <c r="B755" s="32"/>
      <c r="C755" s="33" t="e">
        <f t="shared" si="23"/>
        <v>#N/A</v>
      </c>
      <c r="D755" s="18">
        <v>202500521</v>
      </c>
      <c r="E755">
        <v>27</v>
      </c>
      <c r="F755" t="e">
        <f>Tabela1[[#This Row],[Total de jovens na turma ]]*3</f>
        <v>#N/A</v>
      </c>
      <c r="G755" s="37" t="e">
        <f t="shared" si="24"/>
        <v>#N/A</v>
      </c>
      <c r="H755" s="24">
        <v>6</v>
      </c>
    </row>
    <row r="756" spans="1:8" hidden="1">
      <c r="A756" s="32"/>
      <c r="B756" s="32"/>
      <c r="C756" s="33" t="e">
        <f t="shared" si="23"/>
        <v>#N/A</v>
      </c>
      <c r="D756" s="19">
        <v>202500521</v>
      </c>
      <c r="E756">
        <v>27</v>
      </c>
      <c r="F756" t="e">
        <f>Tabela1[[#This Row],[Total de jovens na turma ]]*3</f>
        <v>#N/A</v>
      </c>
      <c r="G756" s="37" t="e">
        <f t="shared" si="24"/>
        <v>#N/A</v>
      </c>
      <c r="H756" s="24">
        <v>6</v>
      </c>
    </row>
    <row r="757" spans="1:8" hidden="1">
      <c r="A757" s="32"/>
      <c r="B757" s="32"/>
      <c r="C757" s="33" t="e">
        <f t="shared" si="23"/>
        <v>#N/A</v>
      </c>
      <c r="D757" s="18">
        <v>202500521</v>
      </c>
      <c r="E757">
        <v>27</v>
      </c>
      <c r="F757" t="e">
        <f>Tabela1[[#This Row],[Total de jovens na turma ]]*3</f>
        <v>#N/A</v>
      </c>
      <c r="G757" s="37" t="e">
        <f t="shared" si="24"/>
        <v>#N/A</v>
      </c>
      <c r="H757" s="24">
        <v>6</v>
      </c>
    </row>
    <row r="758" spans="1:8" hidden="1">
      <c r="A758" s="32"/>
      <c r="B758" s="32"/>
      <c r="C758" s="33" t="e">
        <f t="shared" si="23"/>
        <v>#N/A</v>
      </c>
      <c r="D758" s="19">
        <v>202500521</v>
      </c>
      <c r="E758">
        <v>27</v>
      </c>
      <c r="F758" t="e">
        <f>Tabela1[[#This Row],[Total de jovens na turma ]]*3</f>
        <v>#N/A</v>
      </c>
      <c r="G758" s="37" t="e">
        <f t="shared" si="24"/>
        <v>#N/A</v>
      </c>
      <c r="H758" s="24">
        <v>6</v>
      </c>
    </row>
    <row r="759" spans="1:8" hidden="1">
      <c r="A759" s="32"/>
      <c r="B759" s="32"/>
      <c r="C759" s="33" t="e">
        <f t="shared" si="23"/>
        <v>#N/A</v>
      </c>
      <c r="D759" s="18">
        <v>202500521</v>
      </c>
      <c r="E759">
        <v>27</v>
      </c>
      <c r="F759" t="e">
        <f>Tabela1[[#This Row],[Total de jovens na turma ]]*3</f>
        <v>#N/A</v>
      </c>
      <c r="G759" s="37" t="e">
        <f t="shared" si="24"/>
        <v>#N/A</v>
      </c>
      <c r="H759" s="24">
        <v>6</v>
      </c>
    </row>
    <row r="760" spans="1:8" hidden="1">
      <c r="A760" s="32"/>
      <c r="B760" s="32"/>
      <c r="C760" s="33" t="e">
        <f t="shared" si="23"/>
        <v>#N/A</v>
      </c>
      <c r="D760" s="19">
        <v>202500521</v>
      </c>
      <c r="E760">
        <v>27</v>
      </c>
      <c r="F760" t="e">
        <f>Tabela1[[#This Row],[Total de jovens na turma ]]*3</f>
        <v>#N/A</v>
      </c>
      <c r="G760" s="37" t="e">
        <f t="shared" si="24"/>
        <v>#N/A</v>
      </c>
      <c r="H760" s="24">
        <v>6</v>
      </c>
    </row>
    <row r="761" spans="1:8" hidden="1">
      <c r="A761" s="32"/>
      <c r="B761" s="32"/>
      <c r="C761" s="33" t="e">
        <f t="shared" si="23"/>
        <v>#N/A</v>
      </c>
      <c r="D761" s="18">
        <v>202500521</v>
      </c>
      <c r="E761">
        <v>27</v>
      </c>
      <c r="F761" t="e">
        <f>Tabela1[[#This Row],[Total de jovens na turma ]]*3</f>
        <v>#N/A</v>
      </c>
      <c r="G761" s="37" t="e">
        <f t="shared" si="24"/>
        <v>#N/A</v>
      </c>
      <c r="H761" s="24">
        <v>6</v>
      </c>
    </row>
    <row r="762" spans="1:8" hidden="1">
      <c r="A762" s="32"/>
      <c r="B762" s="32"/>
      <c r="C762" s="33" t="e">
        <f t="shared" si="23"/>
        <v>#N/A</v>
      </c>
      <c r="D762" s="19">
        <v>202500521</v>
      </c>
      <c r="E762">
        <v>27</v>
      </c>
      <c r="F762" t="e">
        <f>Tabela1[[#This Row],[Total de jovens na turma ]]*3</f>
        <v>#N/A</v>
      </c>
      <c r="G762" s="37" t="e">
        <f t="shared" si="24"/>
        <v>#N/A</v>
      </c>
      <c r="H762" s="24">
        <v>6</v>
      </c>
    </row>
    <row r="763" spans="1:8" hidden="1">
      <c r="A763" s="32"/>
      <c r="B763" s="32"/>
      <c r="C763" s="33" t="e">
        <f t="shared" si="23"/>
        <v>#N/A</v>
      </c>
      <c r="D763" s="18">
        <v>202500521</v>
      </c>
      <c r="E763">
        <v>27</v>
      </c>
      <c r="F763" t="e">
        <f>Tabela1[[#This Row],[Total de jovens na turma ]]*3</f>
        <v>#N/A</v>
      </c>
      <c r="G763" s="37" t="e">
        <f t="shared" si="24"/>
        <v>#N/A</v>
      </c>
      <c r="H763" s="24">
        <v>6</v>
      </c>
    </row>
    <row r="764" spans="1:8" hidden="1">
      <c r="A764" s="32"/>
      <c r="B764" s="32"/>
      <c r="C764" s="33" t="e">
        <f t="shared" si="23"/>
        <v>#N/A</v>
      </c>
      <c r="D764" s="19">
        <v>202500521</v>
      </c>
      <c r="E764">
        <v>27</v>
      </c>
      <c r="F764" t="e">
        <f>Tabela1[[#This Row],[Total de jovens na turma ]]*3</f>
        <v>#N/A</v>
      </c>
      <c r="G764" s="37" t="e">
        <f t="shared" si="24"/>
        <v>#N/A</v>
      </c>
      <c r="H764" s="24">
        <v>6</v>
      </c>
    </row>
    <row r="765" spans="1:8" hidden="1">
      <c r="A765" s="32"/>
      <c r="B765" s="32"/>
      <c r="C765" s="33" t="e">
        <f t="shared" si="23"/>
        <v>#N/A</v>
      </c>
      <c r="D765" s="18">
        <v>202500521</v>
      </c>
      <c r="E765">
        <v>27</v>
      </c>
      <c r="F765" t="e">
        <f>Tabela1[[#This Row],[Total de jovens na turma ]]*3</f>
        <v>#N/A</v>
      </c>
      <c r="G765" s="37" t="e">
        <f t="shared" si="24"/>
        <v>#N/A</v>
      </c>
      <c r="H765" s="24">
        <v>6</v>
      </c>
    </row>
    <row r="766" spans="1:8" hidden="1">
      <c r="A766" s="32"/>
      <c r="B766" s="32"/>
      <c r="C766" s="33" t="e">
        <f t="shared" si="23"/>
        <v>#N/A</v>
      </c>
      <c r="D766" s="19">
        <v>202500521</v>
      </c>
      <c r="E766">
        <v>27</v>
      </c>
      <c r="F766" t="e">
        <f>Tabela1[[#This Row],[Total de jovens na turma ]]*3</f>
        <v>#N/A</v>
      </c>
      <c r="G766" s="37" t="e">
        <f t="shared" si="24"/>
        <v>#N/A</v>
      </c>
      <c r="H766" s="24">
        <v>6</v>
      </c>
    </row>
    <row r="767" spans="1:8" hidden="1">
      <c r="A767" s="32"/>
      <c r="B767" s="32"/>
      <c r="C767" s="33" t="e">
        <f t="shared" si="23"/>
        <v>#N/A</v>
      </c>
      <c r="D767" s="18">
        <v>202500519</v>
      </c>
      <c r="E767">
        <v>38</v>
      </c>
      <c r="F767" t="e">
        <f>Tabela1[[#This Row],[Total de jovens na turma ]]*3</f>
        <v>#N/A</v>
      </c>
      <c r="G767" s="37" t="e">
        <f t="shared" si="24"/>
        <v>#N/A</v>
      </c>
      <c r="H767" s="24">
        <v>6</v>
      </c>
    </row>
    <row r="768" spans="1:8" hidden="1">
      <c r="A768" s="32"/>
      <c r="B768" s="32"/>
      <c r="C768" s="33" t="e">
        <f t="shared" si="23"/>
        <v>#N/A</v>
      </c>
      <c r="D768" s="19">
        <v>202500520</v>
      </c>
      <c r="E768">
        <v>30</v>
      </c>
      <c r="F768" t="e">
        <f>Tabela1[[#This Row],[Total de jovens na turma ]]*3</f>
        <v>#N/A</v>
      </c>
      <c r="G768" s="37" t="e">
        <f t="shared" si="24"/>
        <v>#N/A</v>
      </c>
      <c r="H768" s="24">
        <v>6</v>
      </c>
    </row>
    <row r="769" spans="1:8" hidden="1">
      <c r="A769" s="32"/>
      <c r="B769" s="32"/>
      <c r="C769" s="33" t="e">
        <f t="shared" si="23"/>
        <v>#N/A</v>
      </c>
      <c r="D769" s="18">
        <v>202500520</v>
      </c>
      <c r="E769">
        <v>30</v>
      </c>
      <c r="F769" t="e">
        <f>Tabela1[[#This Row],[Total de jovens na turma ]]*3</f>
        <v>#N/A</v>
      </c>
      <c r="G769" s="37" t="e">
        <f t="shared" si="24"/>
        <v>#N/A</v>
      </c>
      <c r="H769" s="24">
        <v>6</v>
      </c>
    </row>
    <row r="770" spans="1:8" hidden="1">
      <c r="A770" s="32"/>
      <c r="B770" s="32"/>
      <c r="C770" s="33" t="e">
        <f t="shared" si="23"/>
        <v>#N/A</v>
      </c>
      <c r="D770" s="19">
        <v>202500520</v>
      </c>
      <c r="E770">
        <v>30</v>
      </c>
      <c r="F770" t="e">
        <f>Tabela1[[#This Row],[Total de jovens na turma ]]*3</f>
        <v>#N/A</v>
      </c>
      <c r="G770" s="37" t="e">
        <f t="shared" si="24"/>
        <v>#N/A</v>
      </c>
      <c r="H770" s="24">
        <v>6</v>
      </c>
    </row>
    <row r="771" spans="1:8" hidden="1">
      <c r="A771" s="32"/>
      <c r="B771" s="32"/>
      <c r="C771" s="33" t="e">
        <f t="shared" si="23"/>
        <v>#N/A</v>
      </c>
      <c r="D771" s="18">
        <v>202500520</v>
      </c>
      <c r="E771">
        <v>30</v>
      </c>
      <c r="F771" t="e">
        <f>Tabela1[[#This Row],[Total de jovens na turma ]]*3</f>
        <v>#N/A</v>
      </c>
      <c r="G771" s="37" t="e">
        <f t="shared" si="24"/>
        <v>#N/A</v>
      </c>
      <c r="H771" s="24">
        <v>6</v>
      </c>
    </row>
    <row r="772" spans="1:8" hidden="1">
      <c r="A772" s="32"/>
      <c r="B772" s="32"/>
      <c r="C772" s="33" t="e">
        <f t="shared" si="23"/>
        <v>#N/A</v>
      </c>
      <c r="D772" s="19">
        <v>202500520</v>
      </c>
      <c r="E772">
        <v>30</v>
      </c>
      <c r="F772" t="e">
        <f>Tabela1[[#This Row],[Total de jovens na turma ]]*3</f>
        <v>#N/A</v>
      </c>
      <c r="G772" s="37" t="e">
        <f t="shared" si="24"/>
        <v>#N/A</v>
      </c>
      <c r="H772" s="24">
        <v>6</v>
      </c>
    </row>
    <row r="773" spans="1:8" hidden="1">
      <c r="A773" s="32"/>
      <c r="B773" s="32"/>
      <c r="C773" s="33" t="e">
        <f t="shared" ref="C773:C836" si="25">VLOOKUP(A773,D:E,2,0)</f>
        <v>#N/A</v>
      </c>
      <c r="D773" s="18">
        <v>202500520</v>
      </c>
      <c r="E773">
        <v>30</v>
      </c>
      <c r="F773" t="e">
        <f>Tabela1[[#This Row],[Total de jovens na turma ]]*3</f>
        <v>#N/A</v>
      </c>
      <c r="G773" s="37" t="e">
        <f t="shared" si="24"/>
        <v>#N/A</v>
      </c>
      <c r="H773" s="24">
        <v>6</v>
      </c>
    </row>
    <row r="774" spans="1:8" hidden="1">
      <c r="A774" s="32"/>
      <c r="B774" s="32"/>
      <c r="C774" s="33" t="e">
        <f t="shared" si="25"/>
        <v>#N/A</v>
      </c>
      <c r="D774" s="19">
        <v>202500520</v>
      </c>
      <c r="E774">
        <v>30</v>
      </c>
      <c r="F774" t="e">
        <f>Tabela1[[#This Row],[Total de jovens na turma ]]*3</f>
        <v>#N/A</v>
      </c>
      <c r="G774" s="37" t="e">
        <f t="shared" si="24"/>
        <v>#N/A</v>
      </c>
      <c r="H774" s="24">
        <v>6</v>
      </c>
    </row>
    <row r="775" spans="1:8" hidden="1">
      <c r="A775" s="32"/>
      <c r="B775" s="32"/>
      <c r="C775" s="33" t="e">
        <f t="shared" si="25"/>
        <v>#N/A</v>
      </c>
      <c r="D775" s="18">
        <v>202500520</v>
      </c>
      <c r="E775">
        <v>30</v>
      </c>
      <c r="F775" t="e">
        <f>Tabela1[[#This Row],[Total de jovens na turma ]]*3</f>
        <v>#N/A</v>
      </c>
      <c r="G775" s="37" t="e">
        <f t="shared" ref="G775:G838" si="26">F775/24</f>
        <v>#N/A</v>
      </c>
      <c r="H775" s="24">
        <v>6</v>
      </c>
    </row>
    <row r="776" spans="1:8" hidden="1">
      <c r="A776" s="32"/>
      <c r="B776" s="32"/>
      <c r="C776" s="33" t="e">
        <f t="shared" si="25"/>
        <v>#N/A</v>
      </c>
      <c r="D776" s="19">
        <v>202500520</v>
      </c>
      <c r="E776">
        <v>30</v>
      </c>
      <c r="F776" t="e">
        <f>Tabela1[[#This Row],[Total de jovens na turma ]]*3</f>
        <v>#N/A</v>
      </c>
      <c r="G776" s="37" t="e">
        <f t="shared" si="26"/>
        <v>#N/A</v>
      </c>
      <c r="H776" s="24">
        <v>6</v>
      </c>
    </row>
    <row r="777" spans="1:8" hidden="1">
      <c r="A777" s="32"/>
      <c r="B777" s="32"/>
      <c r="C777" s="33" t="e">
        <f t="shared" si="25"/>
        <v>#N/A</v>
      </c>
      <c r="D777" s="18">
        <v>202500520</v>
      </c>
      <c r="E777">
        <v>30</v>
      </c>
      <c r="F777" t="e">
        <f>Tabela1[[#This Row],[Total de jovens na turma ]]*3</f>
        <v>#N/A</v>
      </c>
      <c r="G777" s="37" t="e">
        <f t="shared" si="26"/>
        <v>#N/A</v>
      </c>
      <c r="H777" s="24">
        <v>6</v>
      </c>
    </row>
    <row r="778" spans="1:8" hidden="1">
      <c r="A778" s="32"/>
      <c r="B778" s="32"/>
      <c r="C778" s="33" t="e">
        <f t="shared" si="25"/>
        <v>#N/A</v>
      </c>
      <c r="D778" s="19">
        <v>202500520</v>
      </c>
      <c r="E778">
        <v>30</v>
      </c>
      <c r="F778" t="e">
        <f>Tabela1[[#This Row],[Total de jovens na turma ]]*3</f>
        <v>#N/A</v>
      </c>
      <c r="G778" s="37" t="e">
        <f t="shared" si="26"/>
        <v>#N/A</v>
      </c>
      <c r="H778" s="24">
        <v>6</v>
      </c>
    </row>
    <row r="779" spans="1:8" hidden="1">
      <c r="A779" s="32"/>
      <c r="B779" s="32"/>
      <c r="C779" s="33" t="e">
        <f t="shared" si="25"/>
        <v>#N/A</v>
      </c>
      <c r="D779" s="18">
        <v>202500521</v>
      </c>
      <c r="E779">
        <v>27</v>
      </c>
      <c r="F779" t="e">
        <f>Tabela1[[#This Row],[Total de jovens na turma ]]*3</f>
        <v>#N/A</v>
      </c>
      <c r="G779" s="37" t="e">
        <f t="shared" si="26"/>
        <v>#N/A</v>
      </c>
      <c r="H779" s="24">
        <v>6</v>
      </c>
    </row>
    <row r="780" spans="1:8" hidden="1">
      <c r="A780" s="32"/>
      <c r="B780" s="32"/>
      <c r="C780" s="33" t="e">
        <f t="shared" si="25"/>
        <v>#N/A</v>
      </c>
      <c r="D780" s="19">
        <v>202500519</v>
      </c>
      <c r="E780">
        <v>38</v>
      </c>
      <c r="F780" t="e">
        <f>Tabela1[[#This Row],[Total de jovens na turma ]]*3</f>
        <v>#N/A</v>
      </c>
      <c r="G780" s="37" t="e">
        <f t="shared" si="26"/>
        <v>#N/A</v>
      </c>
      <c r="H780" s="24">
        <v>6</v>
      </c>
    </row>
    <row r="781" spans="1:8" hidden="1">
      <c r="A781" s="32"/>
      <c r="B781" s="32"/>
      <c r="C781" s="33" t="e">
        <f t="shared" si="25"/>
        <v>#N/A</v>
      </c>
      <c r="D781" s="18">
        <v>202500867</v>
      </c>
      <c r="E781">
        <v>32</v>
      </c>
      <c r="F781" t="e">
        <f>Tabela1[[#This Row],[Total de jovens na turma ]]*3</f>
        <v>#N/A</v>
      </c>
      <c r="G781" s="37" t="e">
        <f t="shared" si="26"/>
        <v>#N/A</v>
      </c>
      <c r="H781" s="24">
        <v>6</v>
      </c>
    </row>
    <row r="782" spans="1:8" hidden="1">
      <c r="A782" s="32"/>
      <c r="B782" s="32"/>
      <c r="C782" s="33" t="e">
        <f t="shared" si="25"/>
        <v>#N/A</v>
      </c>
      <c r="D782" s="19">
        <v>202500866</v>
      </c>
      <c r="E782">
        <v>41</v>
      </c>
      <c r="F782" t="e">
        <f>Tabela1[[#This Row],[Total de jovens na turma ]]*3</f>
        <v>#N/A</v>
      </c>
      <c r="G782" s="37" t="e">
        <f t="shared" si="26"/>
        <v>#N/A</v>
      </c>
      <c r="H782" s="24">
        <v>6</v>
      </c>
    </row>
    <row r="783" spans="1:8" hidden="1">
      <c r="A783" s="32"/>
      <c r="B783" s="32"/>
      <c r="C783" s="33" t="e">
        <f t="shared" si="25"/>
        <v>#N/A</v>
      </c>
      <c r="D783" s="18">
        <v>202500866</v>
      </c>
      <c r="E783">
        <v>41</v>
      </c>
      <c r="F783" t="e">
        <f>Tabela1[[#This Row],[Total de jovens na turma ]]*3</f>
        <v>#N/A</v>
      </c>
      <c r="G783" s="37" t="e">
        <f t="shared" si="26"/>
        <v>#N/A</v>
      </c>
      <c r="H783" s="24">
        <v>6</v>
      </c>
    </row>
    <row r="784" spans="1:8" hidden="1">
      <c r="A784" s="32"/>
      <c r="B784" s="32"/>
      <c r="C784" s="33" t="e">
        <f t="shared" si="25"/>
        <v>#N/A</v>
      </c>
      <c r="D784" s="19">
        <v>202500866</v>
      </c>
      <c r="E784">
        <v>41</v>
      </c>
      <c r="F784" t="e">
        <f>Tabela1[[#This Row],[Total de jovens na turma ]]*3</f>
        <v>#N/A</v>
      </c>
      <c r="G784" s="37" t="e">
        <f t="shared" si="26"/>
        <v>#N/A</v>
      </c>
      <c r="H784" s="24">
        <v>6</v>
      </c>
    </row>
    <row r="785" spans="1:8" hidden="1">
      <c r="A785" s="32"/>
      <c r="B785" s="32"/>
      <c r="C785" s="33" t="e">
        <f t="shared" si="25"/>
        <v>#N/A</v>
      </c>
      <c r="D785" s="18">
        <v>202500866</v>
      </c>
      <c r="E785">
        <v>41</v>
      </c>
      <c r="F785" t="e">
        <f>Tabela1[[#This Row],[Total de jovens na turma ]]*3</f>
        <v>#N/A</v>
      </c>
      <c r="G785" s="37" t="e">
        <f t="shared" si="26"/>
        <v>#N/A</v>
      </c>
      <c r="H785" s="24">
        <v>6</v>
      </c>
    </row>
    <row r="786" spans="1:8" hidden="1">
      <c r="A786" s="32"/>
      <c r="B786" s="32"/>
      <c r="C786" s="33" t="e">
        <f t="shared" si="25"/>
        <v>#N/A</v>
      </c>
      <c r="D786" s="19">
        <v>202500866</v>
      </c>
      <c r="E786">
        <v>41</v>
      </c>
      <c r="F786" t="e">
        <f>Tabela1[[#This Row],[Total de jovens na turma ]]*3</f>
        <v>#N/A</v>
      </c>
      <c r="G786" s="37" t="e">
        <f t="shared" si="26"/>
        <v>#N/A</v>
      </c>
      <c r="H786" s="24">
        <v>6</v>
      </c>
    </row>
    <row r="787" spans="1:8" hidden="1">
      <c r="A787" s="32"/>
      <c r="B787" s="32"/>
      <c r="C787" s="33" t="e">
        <f t="shared" si="25"/>
        <v>#N/A</v>
      </c>
      <c r="D787" s="18">
        <v>202500867</v>
      </c>
      <c r="E787">
        <v>32</v>
      </c>
      <c r="F787" t="e">
        <f>Tabela1[[#This Row],[Total de jovens na turma ]]*3</f>
        <v>#N/A</v>
      </c>
      <c r="G787" s="37" t="e">
        <f t="shared" si="26"/>
        <v>#N/A</v>
      </c>
      <c r="H787" s="24">
        <v>6</v>
      </c>
    </row>
    <row r="788" spans="1:8" hidden="1">
      <c r="A788" s="32"/>
      <c r="B788" s="32"/>
      <c r="C788" s="33" t="e">
        <f t="shared" si="25"/>
        <v>#N/A</v>
      </c>
      <c r="D788" s="19">
        <v>202500867</v>
      </c>
      <c r="E788">
        <v>32</v>
      </c>
      <c r="F788" t="e">
        <f>Tabela1[[#This Row],[Total de jovens na turma ]]*3</f>
        <v>#N/A</v>
      </c>
      <c r="G788" s="37" t="e">
        <f t="shared" si="26"/>
        <v>#N/A</v>
      </c>
      <c r="H788" s="24">
        <v>6</v>
      </c>
    </row>
    <row r="789" spans="1:8" hidden="1">
      <c r="A789" s="32"/>
      <c r="B789" s="32"/>
      <c r="C789" s="33" t="e">
        <f t="shared" si="25"/>
        <v>#N/A</v>
      </c>
      <c r="D789" s="18">
        <v>202500867</v>
      </c>
      <c r="E789">
        <v>32</v>
      </c>
      <c r="F789" t="e">
        <f>Tabela1[[#This Row],[Total de jovens na turma ]]*3</f>
        <v>#N/A</v>
      </c>
      <c r="G789" s="37" t="e">
        <f t="shared" si="26"/>
        <v>#N/A</v>
      </c>
      <c r="H789" s="24">
        <v>6</v>
      </c>
    </row>
    <row r="790" spans="1:8" hidden="1">
      <c r="A790" s="32"/>
      <c r="B790" s="32"/>
      <c r="C790" s="33" t="e">
        <f t="shared" si="25"/>
        <v>#N/A</v>
      </c>
      <c r="D790" s="19">
        <v>202500867</v>
      </c>
      <c r="E790">
        <v>32</v>
      </c>
      <c r="F790" t="e">
        <f>Tabela1[[#This Row],[Total de jovens na turma ]]*3</f>
        <v>#N/A</v>
      </c>
      <c r="G790" s="37" t="e">
        <f t="shared" si="26"/>
        <v>#N/A</v>
      </c>
      <c r="H790" s="24">
        <v>6</v>
      </c>
    </row>
    <row r="791" spans="1:8" hidden="1">
      <c r="A791" s="32"/>
      <c r="B791" s="32"/>
      <c r="C791" s="33" t="e">
        <f t="shared" si="25"/>
        <v>#N/A</v>
      </c>
      <c r="D791" s="18">
        <v>202500867</v>
      </c>
      <c r="E791">
        <v>32</v>
      </c>
      <c r="F791" t="e">
        <f>Tabela1[[#This Row],[Total de jovens na turma ]]*3</f>
        <v>#N/A</v>
      </c>
      <c r="G791" s="37" t="e">
        <f t="shared" si="26"/>
        <v>#N/A</v>
      </c>
      <c r="H791" s="24">
        <v>6</v>
      </c>
    </row>
    <row r="792" spans="1:8" hidden="1">
      <c r="A792" s="32"/>
      <c r="B792" s="32"/>
      <c r="C792" s="33" t="e">
        <f t="shared" si="25"/>
        <v>#N/A</v>
      </c>
      <c r="D792" s="19">
        <v>202500867</v>
      </c>
      <c r="E792">
        <v>32</v>
      </c>
      <c r="F792" t="e">
        <f>Tabela1[[#This Row],[Total de jovens na turma ]]*3</f>
        <v>#N/A</v>
      </c>
      <c r="G792" s="37" t="e">
        <f t="shared" si="26"/>
        <v>#N/A</v>
      </c>
      <c r="H792" s="24">
        <v>6</v>
      </c>
    </row>
    <row r="793" spans="1:8" hidden="1">
      <c r="A793" s="32"/>
      <c r="B793" s="32"/>
      <c r="C793" s="33" t="e">
        <f t="shared" si="25"/>
        <v>#N/A</v>
      </c>
      <c r="D793" s="18">
        <v>202500866</v>
      </c>
      <c r="E793">
        <v>41</v>
      </c>
      <c r="F793" t="e">
        <f>Tabela1[[#This Row],[Total de jovens na turma ]]*3</f>
        <v>#N/A</v>
      </c>
      <c r="G793" s="37" t="e">
        <f t="shared" si="26"/>
        <v>#N/A</v>
      </c>
      <c r="H793" s="24">
        <v>6</v>
      </c>
    </row>
    <row r="794" spans="1:8" hidden="1">
      <c r="A794" s="32"/>
      <c r="B794" s="32"/>
      <c r="C794" s="33" t="e">
        <f t="shared" si="25"/>
        <v>#N/A</v>
      </c>
      <c r="D794" s="19">
        <v>202500867</v>
      </c>
      <c r="E794">
        <v>32</v>
      </c>
      <c r="F794" t="e">
        <f>Tabela1[[#This Row],[Total de jovens na turma ]]*3</f>
        <v>#N/A</v>
      </c>
      <c r="G794" s="37" t="e">
        <f t="shared" si="26"/>
        <v>#N/A</v>
      </c>
      <c r="H794" s="24">
        <v>6</v>
      </c>
    </row>
    <row r="795" spans="1:8" hidden="1">
      <c r="A795" s="32"/>
      <c r="B795" s="32"/>
      <c r="C795" s="33" t="e">
        <f t="shared" si="25"/>
        <v>#N/A</v>
      </c>
      <c r="D795" s="18">
        <v>202500867</v>
      </c>
      <c r="E795">
        <v>32</v>
      </c>
      <c r="F795" t="e">
        <f>Tabela1[[#This Row],[Total de jovens na turma ]]*3</f>
        <v>#N/A</v>
      </c>
      <c r="G795" s="37" t="e">
        <f t="shared" si="26"/>
        <v>#N/A</v>
      </c>
      <c r="H795" s="24">
        <v>6</v>
      </c>
    </row>
    <row r="796" spans="1:8" hidden="1">
      <c r="A796" s="32"/>
      <c r="B796" s="32"/>
      <c r="C796" s="33" t="e">
        <f t="shared" si="25"/>
        <v>#N/A</v>
      </c>
      <c r="D796" s="19">
        <v>202500867</v>
      </c>
      <c r="E796">
        <v>32</v>
      </c>
      <c r="F796" t="e">
        <f>Tabela1[[#This Row],[Total de jovens na turma ]]*3</f>
        <v>#N/A</v>
      </c>
      <c r="G796" s="37" t="e">
        <f t="shared" si="26"/>
        <v>#N/A</v>
      </c>
      <c r="H796" s="24">
        <v>6</v>
      </c>
    </row>
    <row r="797" spans="1:8" hidden="1">
      <c r="A797" s="32"/>
      <c r="B797" s="32"/>
      <c r="C797" s="33" t="e">
        <f t="shared" si="25"/>
        <v>#N/A</v>
      </c>
      <c r="D797" s="18">
        <v>202500867</v>
      </c>
      <c r="E797">
        <v>32</v>
      </c>
      <c r="F797" t="e">
        <f>Tabela1[[#This Row],[Total de jovens na turma ]]*3</f>
        <v>#N/A</v>
      </c>
      <c r="G797" s="37" t="e">
        <f t="shared" si="26"/>
        <v>#N/A</v>
      </c>
      <c r="H797" s="24">
        <v>6</v>
      </c>
    </row>
    <row r="798" spans="1:8" hidden="1">
      <c r="A798" s="32"/>
      <c r="B798" s="32"/>
      <c r="C798" s="33" t="e">
        <f t="shared" si="25"/>
        <v>#N/A</v>
      </c>
      <c r="D798" s="19">
        <v>202500867</v>
      </c>
      <c r="E798">
        <v>32</v>
      </c>
      <c r="F798" t="e">
        <f>Tabela1[[#This Row],[Total de jovens na turma ]]*3</f>
        <v>#N/A</v>
      </c>
      <c r="G798" s="37" t="e">
        <f t="shared" si="26"/>
        <v>#N/A</v>
      </c>
      <c r="H798" s="24">
        <v>6</v>
      </c>
    </row>
    <row r="799" spans="1:8" hidden="1">
      <c r="A799" s="32"/>
      <c r="B799" s="32"/>
      <c r="C799" s="33" t="e">
        <f t="shared" si="25"/>
        <v>#N/A</v>
      </c>
      <c r="D799" s="18">
        <v>202500867</v>
      </c>
      <c r="E799">
        <v>32</v>
      </c>
      <c r="F799" t="e">
        <f>Tabela1[[#This Row],[Total de jovens na turma ]]*3</f>
        <v>#N/A</v>
      </c>
      <c r="G799" s="37" t="e">
        <f t="shared" si="26"/>
        <v>#N/A</v>
      </c>
      <c r="H799" s="24">
        <v>6</v>
      </c>
    </row>
    <row r="800" spans="1:8" hidden="1">
      <c r="A800" s="32"/>
      <c r="B800" s="32"/>
      <c r="C800" s="33" t="e">
        <f t="shared" si="25"/>
        <v>#N/A</v>
      </c>
      <c r="D800" s="19">
        <v>202500867</v>
      </c>
      <c r="E800">
        <v>32</v>
      </c>
      <c r="F800" t="e">
        <f>Tabela1[[#This Row],[Total de jovens na turma ]]*3</f>
        <v>#N/A</v>
      </c>
      <c r="G800" s="37" t="e">
        <f t="shared" si="26"/>
        <v>#N/A</v>
      </c>
      <c r="H800" s="24">
        <v>6</v>
      </c>
    </row>
    <row r="801" spans="1:8" hidden="1">
      <c r="A801" s="32"/>
      <c r="B801" s="32"/>
      <c r="C801" s="33" t="e">
        <f t="shared" si="25"/>
        <v>#N/A</v>
      </c>
      <c r="D801" s="18">
        <v>202500867</v>
      </c>
      <c r="E801">
        <v>32</v>
      </c>
      <c r="F801" t="e">
        <f>Tabela1[[#This Row],[Total de jovens na turma ]]*3</f>
        <v>#N/A</v>
      </c>
      <c r="G801" s="37" t="e">
        <f t="shared" si="26"/>
        <v>#N/A</v>
      </c>
      <c r="H801" s="24">
        <v>6</v>
      </c>
    </row>
    <row r="802" spans="1:8" hidden="1">
      <c r="A802" s="32"/>
      <c r="B802" s="32"/>
      <c r="C802" s="33" t="e">
        <f t="shared" si="25"/>
        <v>#N/A</v>
      </c>
      <c r="D802" s="19">
        <v>202500867</v>
      </c>
      <c r="E802">
        <v>32</v>
      </c>
      <c r="F802" t="e">
        <f>Tabela1[[#This Row],[Total de jovens na turma ]]*3</f>
        <v>#N/A</v>
      </c>
      <c r="G802" s="37" t="e">
        <f t="shared" si="26"/>
        <v>#N/A</v>
      </c>
      <c r="H802" s="24">
        <v>6</v>
      </c>
    </row>
    <row r="803" spans="1:8" hidden="1">
      <c r="A803" s="32"/>
      <c r="B803" s="32"/>
      <c r="C803" s="33" t="e">
        <f t="shared" si="25"/>
        <v>#N/A</v>
      </c>
      <c r="D803" s="18">
        <v>202500866</v>
      </c>
      <c r="E803">
        <v>41</v>
      </c>
      <c r="F803" t="e">
        <f>Tabela1[[#This Row],[Total de jovens na turma ]]*3</f>
        <v>#N/A</v>
      </c>
      <c r="G803" s="37" t="e">
        <f t="shared" si="26"/>
        <v>#N/A</v>
      </c>
      <c r="H803" s="24">
        <v>6</v>
      </c>
    </row>
    <row r="804" spans="1:8" hidden="1">
      <c r="A804" s="32"/>
      <c r="B804" s="32"/>
      <c r="C804" s="33" t="e">
        <f t="shared" si="25"/>
        <v>#N/A</v>
      </c>
      <c r="D804" s="19">
        <v>202500866</v>
      </c>
      <c r="E804">
        <v>41</v>
      </c>
      <c r="F804" t="e">
        <f>Tabela1[[#This Row],[Total de jovens na turma ]]*3</f>
        <v>#N/A</v>
      </c>
      <c r="G804" s="37" t="e">
        <f t="shared" si="26"/>
        <v>#N/A</v>
      </c>
      <c r="H804" s="24">
        <v>6</v>
      </c>
    </row>
    <row r="805" spans="1:8" hidden="1">
      <c r="A805" s="32"/>
      <c r="B805" s="32"/>
      <c r="C805" s="33" t="e">
        <f t="shared" si="25"/>
        <v>#N/A</v>
      </c>
      <c r="D805" s="18">
        <v>202500866</v>
      </c>
      <c r="E805">
        <v>41</v>
      </c>
      <c r="F805" t="e">
        <f>Tabela1[[#This Row],[Total de jovens na turma ]]*3</f>
        <v>#N/A</v>
      </c>
      <c r="G805" s="37" t="e">
        <f t="shared" si="26"/>
        <v>#N/A</v>
      </c>
      <c r="H805" s="24">
        <v>6</v>
      </c>
    </row>
    <row r="806" spans="1:8" hidden="1">
      <c r="A806" s="32"/>
      <c r="B806" s="32"/>
      <c r="C806" s="33" t="e">
        <f t="shared" si="25"/>
        <v>#N/A</v>
      </c>
      <c r="D806" s="19">
        <v>202500866</v>
      </c>
      <c r="E806">
        <v>41</v>
      </c>
      <c r="F806" t="e">
        <f>Tabela1[[#This Row],[Total de jovens na turma ]]*3</f>
        <v>#N/A</v>
      </c>
      <c r="G806" s="37" t="e">
        <f t="shared" si="26"/>
        <v>#N/A</v>
      </c>
      <c r="H806" s="24">
        <v>6</v>
      </c>
    </row>
    <row r="807" spans="1:8" hidden="1">
      <c r="A807" s="32"/>
      <c r="B807" s="32"/>
      <c r="C807" s="33" t="e">
        <f t="shared" si="25"/>
        <v>#N/A</v>
      </c>
      <c r="D807" s="18">
        <v>202500866</v>
      </c>
      <c r="E807">
        <v>41</v>
      </c>
      <c r="F807" t="e">
        <f>Tabela1[[#This Row],[Total de jovens na turma ]]*3</f>
        <v>#N/A</v>
      </c>
      <c r="G807" s="37" t="e">
        <f t="shared" si="26"/>
        <v>#N/A</v>
      </c>
      <c r="H807" s="24">
        <v>6</v>
      </c>
    </row>
    <row r="808" spans="1:8" hidden="1">
      <c r="A808" s="32"/>
      <c r="B808" s="32"/>
      <c r="C808" s="33" t="e">
        <f t="shared" si="25"/>
        <v>#N/A</v>
      </c>
      <c r="D808" s="19">
        <v>202500866</v>
      </c>
      <c r="E808">
        <v>41</v>
      </c>
      <c r="F808" t="e">
        <f>Tabela1[[#This Row],[Total de jovens na turma ]]*3</f>
        <v>#N/A</v>
      </c>
      <c r="G808" s="37" t="e">
        <f t="shared" si="26"/>
        <v>#N/A</v>
      </c>
      <c r="H808" s="24">
        <v>6</v>
      </c>
    </row>
    <row r="809" spans="1:8" hidden="1">
      <c r="A809" s="32"/>
      <c r="B809" s="32"/>
      <c r="C809" s="33" t="e">
        <f t="shared" si="25"/>
        <v>#N/A</v>
      </c>
      <c r="D809" s="18">
        <v>202500866</v>
      </c>
      <c r="E809">
        <v>41</v>
      </c>
      <c r="F809" t="e">
        <f>Tabela1[[#This Row],[Total de jovens na turma ]]*3</f>
        <v>#N/A</v>
      </c>
      <c r="G809" s="37" t="e">
        <f t="shared" si="26"/>
        <v>#N/A</v>
      </c>
      <c r="H809" s="24">
        <v>6</v>
      </c>
    </row>
    <row r="810" spans="1:8" hidden="1">
      <c r="A810" s="32"/>
      <c r="B810" s="32"/>
      <c r="C810" s="33" t="e">
        <f t="shared" si="25"/>
        <v>#N/A</v>
      </c>
      <c r="D810" s="19">
        <v>202500866</v>
      </c>
      <c r="E810">
        <v>41</v>
      </c>
      <c r="F810" t="e">
        <f>Tabela1[[#This Row],[Total de jovens na turma ]]*3</f>
        <v>#N/A</v>
      </c>
      <c r="G810" s="37" t="e">
        <f t="shared" si="26"/>
        <v>#N/A</v>
      </c>
      <c r="H810" s="24">
        <v>6</v>
      </c>
    </row>
    <row r="811" spans="1:8" hidden="1">
      <c r="A811" s="32"/>
      <c r="B811" s="32"/>
      <c r="C811" s="33" t="e">
        <f t="shared" si="25"/>
        <v>#N/A</v>
      </c>
      <c r="D811" s="18">
        <v>202500866</v>
      </c>
      <c r="E811">
        <v>41</v>
      </c>
      <c r="F811" t="e">
        <f>Tabela1[[#This Row],[Total de jovens na turma ]]*3</f>
        <v>#N/A</v>
      </c>
      <c r="G811" s="37" t="e">
        <f t="shared" si="26"/>
        <v>#N/A</v>
      </c>
      <c r="H811" s="24">
        <v>6</v>
      </c>
    </row>
    <row r="812" spans="1:8" hidden="1">
      <c r="A812" s="32"/>
      <c r="B812" s="32"/>
      <c r="C812" s="33" t="e">
        <f t="shared" si="25"/>
        <v>#N/A</v>
      </c>
      <c r="D812" s="19">
        <v>202500867</v>
      </c>
      <c r="E812">
        <v>32</v>
      </c>
      <c r="F812" t="e">
        <f>Tabela1[[#This Row],[Total de jovens na turma ]]*3</f>
        <v>#N/A</v>
      </c>
      <c r="G812" s="37" t="e">
        <f t="shared" si="26"/>
        <v>#N/A</v>
      </c>
      <c r="H812" s="24">
        <v>6</v>
      </c>
    </row>
    <row r="813" spans="1:8" hidden="1">
      <c r="A813" s="32"/>
      <c r="B813" s="32"/>
      <c r="C813" s="33" t="e">
        <f t="shared" si="25"/>
        <v>#N/A</v>
      </c>
      <c r="D813" s="18">
        <v>202500867</v>
      </c>
      <c r="E813">
        <v>32</v>
      </c>
      <c r="F813" t="e">
        <f>Tabela1[[#This Row],[Total de jovens na turma ]]*3</f>
        <v>#N/A</v>
      </c>
      <c r="G813" s="37" t="e">
        <f t="shared" si="26"/>
        <v>#N/A</v>
      </c>
      <c r="H813" s="24">
        <v>6</v>
      </c>
    </row>
    <row r="814" spans="1:8" hidden="1">
      <c r="A814" s="32"/>
      <c r="B814" s="32"/>
      <c r="C814" s="33" t="e">
        <f t="shared" si="25"/>
        <v>#N/A</v>
      </c>
      <c r="D814" s="19">
        <v>202500867</v>
      </c>
      <c r="E814">
        <v>32</v>
      </c>
      <c r="F814" t="e">
        <f>Tabela1[[#This Row],[Total de jovens na turma ]]*3</f>
        <v>#N/A</v>
      </c>
      <c r="G814" s="37" t="e">
        <f t="shared" si="26"/>
        <v>#N/A</v>
      </c>
      <c r="H814" s="24">
        <v>6</v>
      </c>
    </row>
    <row r="815" spans="1:8" hidden="1">
      <c r="A815" s="32"/>
      <c r="B815" s="32"/>
      <c r="C815" s="33" t="e">
        <f t="shared" si="25"/>
        <v>#N/A</v>
      </c>
      <c r="D815" s="18">
        <v>202500867</v>
      </c>
      <c r="E815">
        <v>32</v>
      </c>
      <c r="F815" t="e">
        <f>Tabela1[[#This Row],[Total de jovens na turma ]]*3</f>
        <v>#N/A</v>
      </c>
      <c r="G815" s="37" t="e">
        <f t="shared" si="26"/>
        <v>#N/A</v>
      </c>
      <c r="H815" s="24">
        <v>6</v>
      </c>
    </row>
    <row r="816" spans="1:8" hidden="1">
      <c r="A816" s="32"/>
      <c r="B816" s="32"/>
      <c r="C816" s="33" t="e">
        <f t="shared" si="25"/>
        <v>#N/A</v>
      </c>
      <c r="D816" s="19">
        <v>202500866</v>
      </c>
      <c r="E816">
        <v>41</v>
      </c>
      <c r="F816" t="e">
        <f>Tabela1[[#This Row],[Total de jovens na turma ]]*3</f>
        <v>#N/A</v>
      </c>
      <c r="G816" s="37" t="e">
        <f t="shared" si="26"/>
        <v>#N/A</v>
      </c>
      <c r="H816" s="24">
        <v>6</v>
      </c>
    </row>
    <row r="817" spans="1:8" hidden="1">
      <c r="A817" s="32"/>
      <c r="B817" s="32"/>
      <c r="C817" s="33" t="e">
        <f t="shared" si="25"/>
        <v>#N/A</v>
      </c>
      <c r="D817" s="18">
        <v>202500866</v>
      </c>
      <c r="E817">
        <v>41</v>
      </c>
      <c r="F817" t="e">
        <f>Tabela1[[#This Row],[Total de jovens na turma ]]*3</f>
        <v>#N/A</v>
      </c>
      <c r="G817" s="37" t="e">
        <f t="shared" si="26"/>
        <v>#N/A</v>
      </c>
      <c r="H817" s="24">
        <v>6</v>
      </c>
    </row>
    <row r="818" spans="1:8" hidden="1">
      <c r="A818" s="32"/>
      <c r="B818" s="32"/>
      <c r="C818" s="33" t="e">
        <f t="shared" si="25"/>
        <v>#N/A</v>
      </c>
      <c r="D818" s="19">
        <v>202500866</v>
      </c>
      <c r="E818">
        <v>41</v>
      </c>
      <c r="F818" t="e">
        <f>Tabela1[[#This Row],[Total de jovens na turma ]]*3</f>
        <v>#N/A</v>
      </c>
      <c r="G818" s="37" t="e">
        <f t="shared" si="26"/>
        <v>#N/A</v>
      </c>
      <c r="H818" s="24">
        <v>6</v>
      </c>
    </row>
    <row r="819" spans="1:8" hidden="1">
      <c r="A819" s="32"/>
      <c r="B819" s="32"/>
      <c r="C819" s="33" t="e">
        <f t="shared" si="25"/>
        <v>#N/A</v>
      </c>
      <c r="D819" s="18">
        <v>202500866</v>
      </c>
      <c r="E819">
        <v>41</v>
      </c>
      <c r="F819" t="e">
        <f>Tabela1[[#This Row],[Total de jovens na turma ]]*3</f>
        <v>#N/A</v>
      </c>
      <c r="G819" s="37" t="e">
        <f t="shared" si="26"/>
        <v>#N/A</v>
      </c>
      <c r="H819" s="24">
        <v>6</v>
      </c>
    </row>
    <row r="820" spans="1:8" hidden="1">
      <c r="A820" s="32"/>
      <c r="B820" s="32"/>
      <c r="C820" s="33" t="e">
        <f t="shared" si="25"/>
        <v>#N/A</v>
      </c>
      <c r="D820" s="19">
        <v>202500866</v>
      </c>
      <c r="E820">
        <v>41</v>
      </c>
      <c r="F820" t="e">
        <f>Tabela1[[#This Row],[Total de jovens na turma ]]*3</f>
        <v>#N/A</v>
      </c>
      <c r="G820" s="37" t="e">
        <f t="shared" si="26"/>
        <v>#N/A</v>
      </c>
      <c r="H820" s="24">
        <v>6</v>
      </c>
    </row>
    <row r="821" spans="1:8" hidden="1">
      <c r="A821" s="32"/>
      <c r="B821" s="32"/>
      <c r="C821" s="33" t="e">
        <f t="shared" si="25"/>
        <v>#N/A</v>
      </c>
      <c r="D821" s="18">
        <v>202500866</v>
      </c>
      <c r="E821">
        <v>41</v>
      </c>
      <c r="F821" t="e">
        <f>Tabela1[[#This Row],[Total de jovens na turma ]]*3</f>
        <v>#N/A</v>
      </c>
      <c r="G821" s="37" t="e">
        <f t="shared" si="26"/>
        <v>#N/A</v>
      </c>
      <c r="H821" s="24">
        <v>6</v>
      </c>
    </row>
    <row r="822" spans="1:8" hidden="1">
      <c r="A822" s="32"/>
      <c r="B822" s="32"/>
      <c r="C822" s="33" t="e">
        <f t="shared" si="25"/>
        <v>#N/A</v>
      </c>
      <c r="D822" s="19">
        <v>202500866</v>
      </c>
      <c r="E822">
        <v>41</v>
      </c>
      <c r="F822" t="e">
        <f>Tabela1[[#This Row],[Total de jovens na turma ]]*3</f>
        <v>#N/A</v>
      </c>
      <c r="G822" s="37" t="e">
        <f t="shared" si="26"/>
        <v>#N/A</v>
      </c>
      <c r="H822" s="24">
        <v>6</v>
      </c>
    </row>
    <row r="823" spans="1:8" hidden="1">
      <c r="A823" s="32"/>
      <c r="B823" s="32"/>
      <c r="C823" s="33" t="e">
        <f t="shared" si="25"/>
        <v>#N/A</v>
      </c>
      <c r="D823" s="18">
        <v>202500866</v>
      </c>
      <c r="E823">
        <v>41</v>
      </c>
      <c r="F823" t="e">
        <f>Tabela1[[#This Row],[Total de jovens na turma ]]*3</f>
        <v>#N/A</v>
      </c>
      <c r="G823" s="37" t="e">
        <f t="shared" si="26"/>
        <v>#N/A</v>
      </c>
      <c r="H823" s="24">
        <v>6</v>
      </c>
    </row>
    <row r="824" spans="1:8" hidden="1">
      <c r="A824" s="32"/>
      <c r="B824" s="32"/>
      <c r="C824" s="33" t="e">
        <f t="shared" si="25"/>
        <v>#N/A</v>
      </c>
      <c r="D824" s="19">
        <v>202500866</v>
      </c>
      <c r="E824">
        <v>41</v>
      </c>
      <c r="F824" t="e">
        <f>Tabela1[[#This Row],[Total de jovens na turma ]]*3</f>
        <v>#N/A</v>
      </c>
      <c r="G824" s="37" t="e">
        <f t="shared" si="26"/>
        <v>#N/A</v>
      </c>
      <c r="H824" s="24">
        <v>6</v>
      </c>
    </row>
    <row r="825" spans="1:8" hidden="1">
      <c r="A825" s="32"/>
      <c r="B825" s="32"/>
      <c r="C825" s="33" t="e">
        <f t="shared" si="25"/>
        <v>#N/A</v>
      </c>
      <c r="D825" s="18">
        <v>202500866</v>
      </c>
      <c r="E825">
        <v>41</v>
      </c>
      <c r="F825" t="e">
        <f>Tabela1[[#This Row],[Total de jovens na turma ]]*3</f>
        <v>#N/A</v>
      </c>
      <c r="G825" s="37" t="e">
        <f t="shared" si="26"/>
        <v>#N/A</v>
      </c>
      <c r="H825" s="24">
        <v>6</v>
      </c>
    </row>
    <row r="826" spans="1:8" hidden="1">
      <c r="A826" s="32"/>
      <c r="B826" s="32"/>
      <c r="C826" s="33" t="e">
        <f t="shared" si="25"/>
        <v>#N/A</v>
      </c>
      <c r="D826" s="19">
        <v>202500866</v>
      </c>
      <c r="E826">
        <v>41</v>
      </c>
      <c r="F826" t="e">
        <f>Tabela1[[#This Row],[Total de jovens na turma ]]*3</f>
        <v>#N/A</v>
      </c>
      <c r="G826" s="37" t="e">
        <f t="shared" si="26"/>
        <v>#N/A</v>
      </c>
      <c r="H826" s="24">
        <v>6</v>
      </c>
    </row>
    <row r="827" spans="1:8" hidden="1">
      <c r="A827" s="32"/>
      <c r="B827" s="32"/>
      <c r="C827" s="33" t="e">
        <f t="shared" si="25"/>
        <v>#N/A</v>
      </c>
      <c r="D827" s="18">
        <v>202500866</v>
      </c>
      <c r="E827">
        <v>41</v>
      </c>
      <c r="F827" t="e">
        <f>Tabela1[[#This Row],[Total de jovens na turma ]]*3</f>
        <v>#N/A</v>
      </c>
      <c r="G827" s="37" t="e">
        <f t="shared" si="26"/>
        <v>#N/A</v>
      </c>
      <c r="H827" s="24">
        <v>6</v>
      </c>
    </row>
    <row r="828" spans="1:8" hidden="1">
      <c r="A828" s="32"/>
      <c r="B828" s="32"/>
      <c r="C828" s="33" t="e">
        <f t="shared" si="25"/>
        <v>#N/A</v>
      </c>
      <c r="D828" s="19">
        <v>202500866</v>
      </c>
      <c r="E828">
        <v>41</v>
      </c>
      <c r="F828" t="e">
        <f>Tabela1[[#This Row],[Total de jovens na turma ]]*3</f>
        <v>#N/A</v>
      </c>
      <c r="G828" s="37" t="e">
        <f t="shared" si="26"/>
        <v>#N/A</v>
      </c>
      <c r="H828" s="24">
        <v>6</v>
      </c>
    </row>
    <row r="829" spans="1:8" hidden="1">
      <c r="A829" s="32"/>
      <c r="B829" s="32"/>
      <c r="C829" s="33" t="e">
        <f t="shared" si="25"/>
        <v>#N/A</v>
      </c>
      <c r="D829" s="18">
        <v>202500866</v>
      </c>
      <c r="E829">
        <v>41</v>
      </c>
      <c r="F829" t="e">
        <f>Tabela1[[#This Row],[Total de jovens na turma ]]*3</f>
        <v>#N/A</v>
      </c>
      <c r="G829" s="37" t="e">
        <f t="shared" si="26"/>
        <v>#N/A</v>
      </c>
      <c r="H829" s="24">
        <v>6</v>
      </c>
    </row>
    <row r="830" spans="1:8" hidden="1">
      <c r="A830" s="32"/>
      <c r="B830" s="32"/>
      <c r="C830" s="33" t="e">
        <f t="shared" si="25"/>
        <v>#N/A</v>
      </c>
      <c r="D830" s="19">
        <v>202500866</v>
      </c>
      <c r="E830">
        <v>41</v>
      </c>
      <c r="F830" t="e">
        <f>Tabela1[[#This Row],[Total de jovens na turma ]]*3</f>
        <v>#N/A</v>
      </c>
      <c r="G830" s="37" t="e">
        <f t="shared" si="26"/>
        <v>#N/A</v>
      </c>
      <c r="H830" s="24">
        <v>6</v>
      </c>
    </row>
    <row r="831" spans="1:8" hidden="1">
      <c r="A831" s="32"/>
      <c r="B831" s="32"/>
      <c r="C831" s="33" t="e">
        <f t="shared" si="25"/>
        <v>#N/A</v>
      </c>
      <c r="D831" s="18">
        <v>202500866</v>
      </c>
      <c r="E831">
        <v>41</v>
      </c>
      <c r="F831" t="e">
        <f>Tabela1[[#This Row],[Total de jovens na turma ]]*3</f>
        <v>#N/A</v>
      </c>
      <c r="G831" s="37" t="e">
        <f t="shared" si="26"/>
        <v>#N/A</v>
      </c>
      <c r="H831" s="24">
        <v>6</v>
      </c>
    </row>
    <row r="832" spans="1:8" hidden="1">
      <c r="A832" s="32"/>
      <c r="B832" s="32"/>
      <c r="C832" s="33" t="e">
        <f t="shared" si="25"/>
        <v>#N/A</v>
      </c>
      <c r="D832" s="19">
        <v>202500866</v>
      </c>
      <c r="E832">
        <v>41</v>
      </c>
      <c r="F832" t="e">
        <f>Tabela1[[#This Row],[Total de jovens na turma ]]*3</f>
        <v>#N/A</v>
      </c>
      <c r="G832" s="37" t="e">
        <f t="shared" si="26"/>
        <v>#N/A</v>
      </c>
      <c r="H832" s="24">
        <v>6</v>
      </c>
    </row>
    <row r="833" spans="1:8" hidden="1">
      <c r="A833" s="32"/>
      <c r="B833" s="32"/>
      <c r="C833" s="33" t="e">
        <f t="shared" si="25"/>
        <v>#N/A</v>
      </c>
      <c r="D833" s="18">
        <v>202500866</v>
      </c>
      <c r="E833">
        <v>41</v>
      </c>
      <c r="F833" t="e">
        <f>Tabela1[[#This Row],[Total de jovens na turma ]]*3</f>
        <v>#N/A</v>
      </c>
      <c r="G833" s="37" t="e">
        <f t="shared" si="26"/>
        <v>#N/A</v>
      </c>
      <c r="H833" s="24">
        <v>6</v>
      </c>
    </row>
    <row r="834" spans="1:8" hidden="1">
      <c r="A834" s="32"/>
      <c r="B834" s="32"/>
      <c r="C834" s="33" t="e">
        <f t="shared" si="25"/>
        <v>#N/A</v>
      </c>
      <c r="D834" s="19">
        <v>202500866</v>
      </c>
      <c r="E834">
        <v>41</v>
      </c>
      <c r="F834" t="e">
        <f>Tabela1[[#This Row],[Total de jovens na turma ]]*3</f>
        <v>#N/A</v>
      </c>
      <c r="G834" s="37" t="e">
        <f t="shared" si="26"/>
        <v>#N/A</v>
      </c>
      <c r="H834" s="24">
        <v>6</v>
      </c>
    </row>
    <row r="835" spans="1:8" hidden="1">
      <c r="A835" s="32"/>
      <c r="B835" s="32"/>
      <c r="C835" s="33" t="e">
        <f t="shared" si="25"/>
        <v>#N/A</v>
      </c>
      <c r="D835" s="18">
        <v>202500866</v>
      </c>
      <c r="E835">
        <v>41</v>
      </c>
      <c r="F835" t="e">
        <f>Tabela1[[#This Row],[Total de jovens na turma ]]*3</f>
        <v>#N/A</v>
      </c>
      <c r="G835" s="37" t="e">
        <f t="shared" si="26"/>
        <v>#N/A</v>
      </c>
      <c r="H835" s="24">
        <v>6</v>
      </c>
    </row>
    <row r="836" spans="1:8" hidden="1">
      <c r="A836" s="32"/>
      <c r="B836" s="32"/>
      <c r="C836" s="33" t="e">
        <f t="shared" si="25"/>
        <v>#N/A</v>
      </c>
      <c r="D836" s="19">
        <v>202500866</v>
      </c>
      <c r="E836">
        <v>41</v>
      </c>
      <c r="F836" t="e">
        <f>Tabela1[[#This Row],[Total de jovens na turma ]]*3</f>
        <v>#N/A</v>
      </c>
      <c r="G836" s="37" t="e">
        <f t="shared" si="26"/>
        <v>#N/A</v>
      </c>
      <c r="H836" s="24">
        <v>6</v>
      </c>
    </row>
    <row r="837" spans="1:8" hidden="1">
      <c r="A837" s="32"/>
      <c r="B837" s="32"/>
      <c r="C837" s="33" t="e">
        <f t="shared" ref="C837:C900" si="27">VLOOKUP(A837,D:E,2,0)</f>
        <v>#N/A</v>
      </c>
      <c r="D837" s="18">
        <v>202500866</v>
      </c>
      <c r="E837">
        <v>41</v>
      </c>
      <c r="F837" t="e">
        <f>Tabela1[[#This Row],[Total de jovens na turma ]]*3</f>
        <v>#N/A</v>
      </c>
      <c r="G837" s="37" t="e">
        <f t="shared" si="26"/>
        <v>#N/A</v>
      </c>
      <c r="H837" s="24">
        <v>6</v>
      </c>
    </row>
    <row r="838" spans="1:8" hidden="1">
      <c r="A838" s="32"/>
      <c r="B838" s="32"/>
      <c r="C838" s="33" t="e">
        <f t="shared" si="27"/>
        <v>#N/A</v>
      </c>
      <c r="D838" s="19">
        <v>202500866</v>
      </c>
      <c r="E838">
        <v>41</v>
      </c>
      <c r="F838" t="e">
        <f>Tabela1[[#This Row],[Total de jovens na turma ]]*3</f>
        <v>#N/A</v>
      </c>
      <c r="G838" s="37" t="e">
        <f t="shared" si="26"/>
        <v>#N/A</v>
      </c>
      <c r="H838" s="24">
        <v>6</v>
      </c>
    </row>
    <row r="839" spans="1:8" hidden="1">
      <c r="A839" s="32"/>
      <c r="B839" s="32"/>
      <c r="C839" s="33" t="e">
        <f t="shared" si="27"/>
        <v>#N/A</v>
      </c>
      <c r="D839" s="18">
        <v>202500866</v>
      </c>
      <c r="E839">
        <v>41</v>
      </c>
      <c r="F839" t="e">
        <f>Tabela1[[#This Row],[Total de jovens na turma ]]*3</f>
        <v>#N/A</v>
      </c>
      <c r="G839" s="37" t="e">
        <f t="shared" ref="G839:G902" si="28">F839/24</f>
        <v>#N/A</v>
      </c>
      <c r="H839" s="24">
        <v>6</v>
      </c>
    </row>
    <row r="840" spans="1:8" hidden="1">
      <c r="A840" s="32"/>
      <c r="B840" s="32"/>
      <c r="C840" s="33" t="e">
        <f t="shared" si="27"/>
        <v>#N/A</v>
      </c>
      <c r="D840" s="19">
        <v>202500866</v>
      </c>
      <c r="E840">
        <v>41</v>
      </c>
      <c r="F840" t="e">
        <f>Tabela1[[#This Row],[Total de jovens na turma ]]*3</f>
        <v>#N/A</v>
      </c>
      <c r="G840" s="37" t="e">
        <f t="shared" si="28"/>
        <v>#N/A</v>
      </c>
      <c r="H840" s="24">
        <v>6</v>
      </c>
    </row>
    <row r="841" spans="1:8" hidden="1">
      <c r="A841" s="32"/>
      <c r="B841" s="32"/>
      <c r="C841" s="33" t="e">
        <f t="shared" si="27"/>
        <v>#N/A</v>
      </c>
      <c r="D841" s="18">
        <v>202500866</v>
      </c>
      <c r="E841">
        <v>41</v>
      </c>
      <c r="F841" t="e">
        <f>Tabela1[[#This Row],[Total de jovens na turma ]]*3</f>
        <v>#N/A</v>
      </c>
      <c r="G841" s="37" t="e">
        <f t="shared" si="28"/>
        <v>#N/A</v>
      </c>
      <c r="H841" s="24">
        <v>6</v>
      </c>
    </row>
    <row r="842" spans="1:8" hidden="1">
      <c r="A842" s="32"/>
      <c r="B842" s="32"/>
      <c r="C842" s="33" t="e">
        <f t="shared" si="27"/>
        <v>#N/A</v>
      </c>
      <c r="D842" s="19">
        <v>202500869</v>
      </c>
      <c r="E842">
        <v>13</v>
      </c>
      <c r="F842" t="e">
        <f>Tabela1[[#This Row],[Total de jovens na turma ]]*3</f>
        <v>#N/A</v>
      </c>
      <c r="G842" s="37" t="e">
        <f t="shared" si="28"/>
        <v>#N/A</v>
      </c>
      <c r="H842" s="24">
        <v>6</v>
      </c>
    </row>
    <row r="843" spans="1:8" hidden="1">
      <c r="A843" s="32"/>
      <c r="B843" s="32"/>
      <c r="C843" s="33" t="e">
        <f t="shared" si="27"/>
        <v>#N/A</v>
      </c>
      <c r="D843" s="18">
        <v>202500869</v>
      </c>
      <c r="E843">
        <v>13</v>
      </c>
      <c r="F843" t="e">
        <f>Tabela1[[#This Row],[Total de jovens na turma ]]*3</f>
        <v>#N/A</v>
      </c>
      <c r="G843" s="37" t="e">
        <f t="shared" si="28"/>
        <v>#N/A</v>
      </c>
      <c r="H843" s="24">
        <v>6</v>
      </c>
    </row>
    <row r="844" spans="1:8" hidden="1">
      <c r="A844" s="32"/>
      <c r="B844" s="32"/>
      <c r="C844" s="33" t="e">
        <f t="shared" si="27"/>
        <v>#N/A</v>
      </c>
      <c r="D844" s="19">
        <v>202500868</v>
      </c>
      <c r="E844">
        <v>38</v>
      </c>
      <c r="F844" t="e">
        <f>Tabela1[[#This Row],[Total de jovens na turma ]]*3</f>
        <v>#N/A</v>
      </c>
      <c r="G844" s="37" t="e">
        <f t="shared" si="28"/>
        <v>#N/A</v>
      </c>
      <c r="H844" s="24">
        <v>6</v>
      </c>
    </row>
    <row r="845" spans="1:8" hidden="1">
      <c r="A845" s="32"/>
      <c r="B845" s="32"/>
      <c r="C845" s="33" t="e">
        <f t="shared" si="27"/>
        <v>#N/A</v>
      </c>
      <c r="D845" s="18">
        <v>202500868</v>
      </c>
      <c r="E845">
        <v>38</v>
      </c>
      <c r="F845" t="e">
        <f>Tabela1[[#This Row],[Total de jovens na turma ]]*3</f>
        <v>#N/A</v>
      </c>
      <c r="G845" s="37" t="e">
        <f t="shared" si="28"/>
        <v>#N/A</v>
      </c>
      <c r="H845" s="24">
        <v>6</v>
      </c>
    </row>
    <row r="846" spans="1:8" hidden="1">
      <c r="A846" s="32"/>
      <c r="B846" s="32"/>
      <c r="C846" s="33" t="e">
        <f t="shared" si="27"/>
        <v>#N/A</v>
      </c>
      <c r="D846" s="19">
        <v>202500868</v>
      </c>
      <c r="E846">
        <v>38</v>
      </c>
      <c r="F846" t="e">
        <f>Tabela1[[#This Row],[Total de jovens na turma ]]*3</f>
        <v>#N/A</v>
      </c>
      <c r="G846" s="37" t="e">
        <f t="shared" si="28"/>
        <v>#N/A</v>
      </c>
      <c r="H846" s="24">
        <v>6</v>
      </c>
    </row>
    <row r="847" spans="1:8" hidden="1">
      <c r="A847" s="32"/>
      <c r="B847" s="32"/>
      <c r="C847" s="33" t="e">
        <f t="shared" si="27"/>
        <v>#N/A</v>
      </c>
      <c r="D847" s="18">
        <v>202500868</v>
      </c>
      <c r="E847">
        <v>38</v>
      </c>
      <c r="F847" t="e">
        <f>Tabela1[[#This Row],[Total de jovens na turma ]]*3</f>
        <v>#N/A</v>
      </c>
      <c r="G847" s="37" t="e">
        <f t="shared" si="28"/>
        <v>#N/A</v>
      </c>
      <c r="H847" s="24">
        <v>6</v>
      </c>
    </row>
    <row r="848" spans="1:8" hidden="1">
      <c r="A848" s="32"/>
      <c r="B848" s="32"/>
      <c r="C848" s="33" t="e">
        <f t="shared" si="27"/>
        <v>#N/A</v>
      </c>
      <c r="D848" s="19">
        <v>202500868</v>
      </c>
      <c r="E848">
        <v>38</v>
      </c>
      <c r="F848" t="e">
        <f>Tabela1[[#This Row],[Total de jovens na turma ]]*3</f>
        <v>#N/A</v>
      </c>
      <c r="G848" s="37" t="e">
        <f t="shared" si="28"/>
        <v>#N/A</v>
      </c>
      <c r="H848" s="24">
        <v>6</v>
      </c>
    </row>
    <row r="849" spans="1:8" hidden="1">
      <c r="A849" s="32"/>
      <c r="B849" s="32"/>
      <c r="C849" s="33" t="e">
        <f t="shared" si="27"/>
        <v>#N/A</v>
      </c>
      <c r="D849" s="18">
        <v>202500868</v>
      </c>
      <c r="E849">
        <v>38</v>
      </c>
      <c r="F849" t="e">
        <f>Tabela1[[#This Row],[Total de jovens na turma ]]*3</f>
        <v>#N/A</v>
      </c>
      <c r="G849" s="37" t="e">
        <f t="shared" si="28"/>
        <v>#N/A</v>
      </c>
      <c r="H849" s="24">
        <v>6</v>
      </c>
    </row>
    <row r="850" spans="1:8" hidden="1">
      <c r="A850" s="32"/>
      <c r="B850" s="32"/>
      <c r="C850" s="33" t="e">
        <f t="shared" si="27"/>
        <v>#N/A</v>
      </c>
      <c r="D850" s="19">
        <v>202500868</v>
      </c>
      <c r="E850">
        <v>38</v>
      </c>
      <c r="F850" t="e">
        <f>Tabela1[[#This Row],[Total de jovens na turma ]]*3</f>
        <v>#N/A</v>
      </c>
      <c r="G850" s="37" t="e">
        <f t="shared" si="28"/>
        <v>#N/A</v>
      </c>
      <c r="H850" s="24">
        <v>6</v>
      </c>
    </row>
    <row r="851" spans="1:8" hidden="1">
      <c r="A851" s="32"/>
      <c r="B851" s="32"/>
      <c r="C851" s="33" t="e">
        <f t="shared" si="27"/>
        <v>#N/A</v>
      </c>
      <c r="D851" s="18">
        <v>202500868</v>
      </c>
      <c r="E851">
        <v>38</v>
      </c>
      <c r="F851" t="e">
        <f>Tabela1[[#This Row],[Total de jovens na turma ]]*3</f>
        <v>#N/A</v>
      </c>
      <c r="G851" s="37" t="e">
        <f t="shared" si="28"/>
        <v>#N/A</v>
      </c>
      <c r="H851" s="24">
        <v>6</v>
      </c>
    </row>
    <row r="852" spans="1:8" hidden="1">
      <c r="A852" s="32"/>
      <c r="B852" s="32"/>
      <c r="C852" s="33" t="e">
        <f t="shared" si="27"/>
        <v>#N/A</v>
      </c>
      <c r="D852" s="19">
        <v>202500869</v>
      </c>
      <c r="E852">
        <v>13</v>
      </c>
      <c r="F852" t="e">
        <f>Tabela1[[#This Row],[Total de jovens na turma ]]*3</f>
        <v>#N/A</v>
      </c>
      <c r="G852" s="37" t="e">
        <f t="shared" si="28"/>
        <v>#N/A</v>
      </c>
      <c r="H852" s="24">
        <v>6</v>
      </c>
    </row>
    <row r="853" spans="1:8" hidden="1">
      <c r="A853" s="32"/>
      <c r="B853" s="32"/>
      <c r="C853" s="33" t="e">
        <f t="shared" si="27"/>
        <v>#N/A</v>
      </c>
      <c r="D853" s="18">
        <v>202500868</v>
      </c>
      <c r="E853">
        <v>38</v>
      </c>
      <c r="F853" t="e">
        <f>Tabela1[[#This Row],[Total de jovens na turma ]]*3</f>
        <v>#N/A</v>
      </c>
      <c r="G853" s="37" t="e">
        <f t="shared" si="28"/>
        <v>#N/A</v>
      </c>
      <c r="H853" s="24">
        <v>6</v>
      </c>
    </row>
    <row r="854" spans="1:8" hidden="1">
      <c r="A854" s="32"/>
      <c r="B854" s="32"/>
      <c r="C854" s="33" t="e">
        <f t="shared" si="27"/>
        <v>#N/A</v>
      </c>
      <c r="D854" s="19">
        <v>202500868</v>
      </c>
      <c r="E854">
        <v>38</v>
      </c>
      <c r="F854" t="e">
        <f>Tabela1[[#This Row],[Total de jovens na turma ]]*3</f>
        <v>#N/A</v>
      </c>
      <c r="G854" s="37" t="e">
        <f t="shared" si="28"/>
        <v>#N/A</v>
      </c>
      <c r="H854" s="24">
        <v>6</v>
      </c>
    </row>
    <row r="855" spans="1:8" hidden="1">
      <c r="A855" s="32"/>
      <c r="B855" s="32"/>
      <c r="C855" s="33" t="e">
        <f t="shared" si="27"/>
        <v>#N/A</v>
      </c>
      <c r="D855" s="18">
        <v>202500868</v>
      </c>
      <c r="E855">
        <v>38</v>
      </c>
      <c r="F855" t="e">
        <f>Tabela1[[#This Row],[Total de jovens na turma ]]*3</f>
        <v>#N/A</v>
      </c>
      <c r="G855" s="37" t="e">
        <f t="shared" si="28"/>
        <v>#N/A</v>
      </c>
      <c r="H855" s="24">
        <v>6</v>
      </c>
    </row>
    <row r="856" spans="1:8" hidden="1">
      <c r="A856" s="32"/>
      <c r="B856" s="32"/>
      <c r="C856" s="33" t="e">
        <f t="shared" si="27"/>
        <v>#N/A</v>
      </c>
      <c r="D856" s="19">
        <v>202500868</v>
      </c>
      <c r="E856">
        <v>38</v>
      </c>
      <c r="F856" t="e">
        <f>Tabela1[[#This Row],[Total de jovens na turma ]]*3</f>
        <v>#N/A</v>
      </c>
      <c r="G856" s="37" t="e">
        <f t="shared" si="28"/>
        <v>#N/A</v>
      </c>
      <c r="H856" s="24">
        <v>6</v>
      </c>
    </row>
    <row r="857" spans="1:8" hidden="1">
      <c r="A857" s="32"/>
      <c r="B857" s="32"/>
      <c r="C857" s="33" t="e">
        <f t="shared" si="27"/>
        <v>#N/A</v>
      </c>
      <c r="D857" s="18">
        <v>202500868</v>
      </c>
      <c r="E857">
        <v>38</v>
      </c>
      <c r="F857" t="e">
        <f>Tabela1[[#This Row],[Total de jovens na turma ]]*3</f>
        <v>#N/A</v>
      </c>
      <c r="G857" s="37" t="e">
        <f t="shared" si="28"/>
        <v>#N/A</v>
      </c>
      <c r="H857" s="24">
        <v>6</v>
      </c>
    </row>
    <row r="858" spans="1:8" hidden="1">
      <c r="A858" s="32"/>
      <c r="B858" s="32"/>
      <c r="C858" s="33" t="e">
        <f t="shared" si="27"/>
        <v>#N/A</v>
      </c>
      <c r="D858" s="19">
        <v>202500868</v>
      </c>
      <c r="E858">
        <v>38</v>
      </c>
      <c r="F858" t="e">
        <f>Tabela1[[#This Row],[Total de jovens na turma ]]*3</f>
        <v>#N/A</v>
      </c>
      <c r="G858" s="37" t="e">
        <f t="shared" si="28"/>
        <v>#N/A</v>
      </c>
      <c r="H858" s="24">
        <v>6</v>
      </c>
    </row>
    <row r="859" spans="1:8" hidden="1">
      <c r="A859" s="32"/>
      <c r="B859" s="32"/>
      <c r="C859" s="33" t="e">
        <f t="shared" si="27"/>
        <v>#N/A</v>
      </c>
      <c r="D859" s="18">
        <v>202500868</v>
      </c>
      <c r="E859">
        <v>38</v>
      </c>
      <c r="F859" t="e">
        <f>Tabela1[[#This Row],[Total de jovens na turma ]]*3</f>
        <v>#N/A</v>
      </c>
      <c r="G859" s="37" t="e">
        <f t="shared" si="28"/>
        <v>#N/A</v>
      </c>
      <c r="H859" s="24">
        <v>6</v>
      </c>
    </row>
    <row r="860" spans="1:8" hidden="1">
      <c r="A860" s="32"/>
      <c r="B860" s="32"/>
      <c r="C860" s="33" t="e">
        <f t="shared" si="27"/>
        <v>#N/A</v>
      </c>
      <c r="D860" s="19">
        <v>202500868</v>
      </c>
      <c r="E860">
        <v>38</v>
      </c>
      <c r="F860" t="e">
        <f>Tabela1[[#This Row],[Total de jovens na turma ]]*3</f>
        <v>#N/A</v>
      </c>
      <c r="G860" s="37" t="e">
        <f t="shared" si="28"/>
        <v>#N/A</v>
      </c>
      <c r="H860" s="24">
        <v>6</v>
      </c>
    </row>
    <row r="861" spans="1:8" hidden="1">
      <c r="A861" s="32"/>
      <c r="B861" s="32"/>
      <c r="C861" s="33" t="e">
        <f t="shared" si="27"/>
        <v>#N/A</v>
      </c>
      <c r="D861" s="18">
        <v>202500868</v>
      </c>
      <c r="E861">
        <v>38</v>
      </c>
      <c r="F861" t="e">
        <f>Tabela1[[#This Row],[Total de jovens na turma ]]*3</f>
        <v>#N/A</v>
      </c>
      <c r="G861" s="37" t="e">
        <f t="shared" si="28"/>
        <v>#N/A</v>
      </c>
      <c r="H861" s="24">
        <v>6</v>
      </c>
    </row>
    <row r="862" spans="1:8" hidden="1">
      <c r="A862" s="32"/>
      <c r="B862" s="32"/>
      <c r="C862" s="33" t="e">
        <f t="shared" si="27"/>
        <v>#N/A</v>
      </c>
      <c r="D862" s="19">
        <v>202500868</v>
      </c>
      <c r="E862">
        <v>38</v>
      </c>
      <c r="F862" t="e">
        <f>Tabela1[[#This Row],[Total de jovens na turma ]]*3</f>
        <v>#N/A</v>
      </c>
      <c r="G862" s="37" t="e">
        <f t="shared" si="28"/>
        <v>#N/A</v>
      </c>
      <c r="H862" s="24">
        <v>6</v>
      </c>
    </row>
    <row r="863" spans="1:8" hidden="1">
      <c r="A863" s="32"/>
      <c r="B863" s="32"/>
      <c r="C863" s="33" t="e">
        <f t="shared" si="27"/>
        <v>#N/A</v>
      </c>
      <c r="D863" s="18">
        <v>202500868</v>
      </c>
      <c r="E863">
        <v>38</v>
      </c>
      <c r="F863" t="e">
        <f>Tabela1[[#This Row],[Total de jovens na turma ]]*3</f>
        <v>#N/A</v>
      </c>
      <c r="G863" s="37" t="e">
        <f t="shared" si="28"/>
        <v>#N/A</v>
      </c>
      <c r="H863" s="24">
        <v>6</v>
      </c>
    </row>
    <row r="864" spans="1:8" hidden="1">
      <c r="A864" s="32"/>
      <c r="B864" s="32"/>
      <c r="C864" s="33" t="e">
        <f t="shared" si="27"/>
        <v>#N/A</v>
      </c>
      <c r="D864" s="19">
        <v>202500868</v>
      </c>
      <c r="E864">
        <v>38</v>
      </c>
      <c r="F864" t="e">
        <f>Tabela1[[#This Row],[Total de jovens na turma ]]*3</f>
        <v>#N/A</v>
      </c>
      <c r="G864" s="37" t="e">
        <f t="shared" si="28"/>
        <v>#N/A</v>
      </c>
      <c r="H864" s="24">
        <v>6</v>
      </c>
    </row>
    <row r="865" spans="1:8" hidden="1">
      <c r="A865" s="32"/>
      <c r="B865" s="32"/>
      <c r="C865" s="33" t="e">
        <f t="shared" si="27"/>
        <v>#N/A</v>
      </c>
      <c r="D865" s="18">
        <v>202500868</v>
      </c>
      <c r="E865">
        <v>38</v>
      </c>
      <c r="F865" t="e">
        <f>Tabela1[[#This Row],[Total de jovens na turma ]]*3</f>
        <v>#N/A</v>
      </c>
      <c r="G865" s="37" t="e">
        <f t="shared" si="28"/>
        <v>#N/A</v>
      </c>
      <c r="H865" s="24">
        <v>6</v>
      </c>
    </row>
    <row r="866" spans="1:8" hidden="1">
      <c r="A866" s="32"/>
      <c r="B866" s="32"/>
      <c r="C866" s="33" t="e">
        <f t="shared" si="27"/>
        <v>#N/A</v>
      </c>
      <c r="D866" s="19">
        <v>202500868</v>
      </c>
      <c r="E866">
        <v>38</v>
      </c>
      <c r="F866" t="e">
        <f>Tabela1[[#This Row],[Total de jovens na turma ]]*3</f>
        <v>#N/A</v>
      </c>
      <c r="G866" s="37" t="e">
        <f t="shared" si="28"/>
        <v>#N/A</v>
      </c>
      <c r="H866" s="24">
        <v>6</v>
      </c>
    </row>
    <row r="867" spans="1:8" hidden="1">
      <c r="A867" s="32"/>
      <c r="B867" s="32"/>
      <c r="C867" s="33" t="e">
        <f t="shared" si="27"/>
        <v>#N/A</v>
      </c>
      <c r="D867" s="18">
        <v>202500868</v>
      </c>
      <c r="E867">
        <v>38</v>
      </c>
      <c r="F867" t="e">
        <f>Tabela1[[#This Row],[Total de jovens na turma ]]*3</f>
        <v>#N/A</v>
      </c>
      <c r="G867" s="37" t="e">
        <f t="shared" si="28"/>
        <v>#N/A</v>
      </c>
      <c r="H867" s="24">
        <v>6</v>
      </c>
    </row>
    <row r="868" spans="1:8" hidden="1">
      <c r="A868" s="32"/>
      <c r="B868" s="32"/>
      <c r="C868" s="33" t="e">
        <f t="shared" si="27"/>
        <v>#N/A</v>
      </c>
      <c r="D868" s="19">
        <v>202500868</v>
      </c>
      <c r="E868">
        <v>38</v>
      </c>
      <c r="F868" t="e">
        <f>Tabela1[[#This Row],[Total de jovens na turma ]]*3</f>
        <v>#N/A</v>
      </c>
      <c r="G868" s="37" t="e">
        <f t="shared" si="28"/>
        <v>#N/A</v>
      </c>
      <c r="H868" s="24">
        <v>6</v>
      </c>
    </row>
    <row r="869" spans="1:8" hidden="1">
      <c r="A869" s="32"/>
      <c r="B869" s="32"/>
      <c r="C869" s="33" t="e">
        <f t="shared" si="27"/>
        <v>#N/A</v>
      </c>
      <c r="D869" s="18">
        <v>202500868</v>
      </c>
      <c r="E869">
        <v>38</v>
      </c>
      <c r="F869" t="e">
        <f>Tabela1[[#This Row],[Total de jovens na turma ]]*3</f>
        <v>#N/A</v>
      </c>
      <c r="G869" s="37" t="e">
        <f t="shared" si="28"/>
        <v>#N/A</v>
      </c>
      <c r="H869" s="24">
        <v>6</v>
      </c>
    </row>
    <row r="870" spans="1:8" hidden="1">
      <c r="A870" s="32"/>
      <c r="B870" s="32"/>
      <c r="C870" s="33" t="e">
        <f t="shared" si="27"/>
        <v>#N/A</v>
      </c>
      <c r="D870" s="19">
        <v>202500868</v>
      </c>
      <c r="E870">
        <v>38</v>
      </c>
      <c r="F870" t="e">
        <f>Tabela1[[#This Row],[Total de jovens na turma ]]*3</f>
        <v>#N/A</v>
      </c>
      <c r="G870" s="37" t="e">
        <f t="shared" si="28"/>
        <v>#N/A</v>
      </c>
      <c r="H870" s="24">
        <v>6</v>
      </c>
    </row>
    <row r="871" spans="1:8" hidden="1">
      <c r="A871" s="32"/>
      <c r="B871" s="32"/>
      <c r="C871" s="33" t="e">
        <f t="shared" si="27"/>
        <v>#N/A</v>
      </c>
      <c r="D871" s="18">
        <v>202500868</v>
      </c>
      <c r="E871">
        <v>38</v>
      </c>
      <c r="F871" t="e">
        <f>Tabela1[[#This Row],[Total de jovens na turma ]]*3</f>
        <v>#N/A</v>
      </c>
      <c r="G871" s="37" t="e">
        <f t="shared" si="28"/>
        <v>#N/A</v>
      </c>
      <c r="H871" s="24">
        <v>6</v>
      </c>
    </row>
    <row r="872" spans="1:8" hidden="1">
      <c r="A872" s="32"/>
      <c r="B872" s="32"/>
      <c r="C872" s="33" t="e">
        <f t="shared" si="27"/>
        <v>#N/A</v>
      </c>
      <c r="D872" s="19">
        <v>202500868</v>
      </c>
      <c r="E872">
        <v>38</v>
      </c>
      <c r="F872" t="e">
        <f>Tabela1[[#This Row],[Total de jovens na turma ]]*3</f>
        <v>#N/A</v>
      </c>
      <c r="G872" s="37" t="e">
        <f t="shared" si="28"/>
        <v>#N/A</v>
      </c>
      <c r="H872" s="24">
        <v>6</v>
      </c>
    </row>
    <row r="873" spans="1:8" hidden="1">
      <c r="A873" s="32"/>
      <c r="B873" s="32"/>
      <c r="C873" s="33" t="e">
        <f t="shared" si="27"/>
        <v>#N/A</v>
      </c>
      <c r="D873" s="18">
        <v>202500868</v>
      </c>
      <c r="E873">
        <v>38</v>
      </c>
      <c r="F873" t="e">
        <f>Tabela1[[#This Row],[Total de jovens na turma ]]*3</f>
        <v>#N/A</v>
      </c>
      <c r="G873" s="37" t="e">
        <f t="shared" si="28"/>
        <v>#N/A</v>
      </c>
      <c r="H873" s="24">
        <v>6</v>
      </c>
    </row>
    <row r="874" spans="1:8" hidden="1">
      <c r="A874" s="32"/>
      <c r="B874" s="32"/>
      <c r="C874" s="33" t="e">
        <f t="shared" si="27"/>
        <v>#N/A</v>
      </c>
      <c r="D874" s="19">
        <v>202500868</v>
      </c>
      <c r="E874">
        <v>38</v>
      </c>
      <c r="F874" t="e">
        <f>Tabela1[[#This Row],[Total de jovens na turma ]]*3</f>
        <v>#N/A</v>
      </c>
      <c r="G874" s="37" t="e">
        <f t="shared" si="28"/>
        <v>#N/A</v>
      </c>
      <c r="H874" s="24">
        <v>6</v>
      </c>
    </row>
    <row r="875" spans="1:8" hidden="1">
      <c r="A875" s="32"/>
      <c r="B875" s="32"/>
      <c r="C875" s="33" t="e">
        <f t="shared" si="27"/>
        <v>#N/A</v>
      </c>
      <c r="D875" s="18">
        <v>202500868</v>
      </c>
      <c r="E875">
        <v>38</v>
      </c>
      <c r="F875" t="e">
        <f>Tabela1[[#This Row],[Total de jovens na turma ]]*3</f>
        <v>#N/A</v>
      </c>
      <c r="G875" s="37" t="e">
        <f t="shared" si="28"/>
        <v>#N/A</v>
      </c>
      <c r="H875" s="24">
        <v>6</v>
      </c>
    </row>
    <row r="876" spans="1:8" hidden="1">
      <c r="A876" s="32"/>
      <c r="B876" s="32"/>
      <c r="C876" s="33" t="e">
        <f t="shared" si="27"/>
        <v>#N/A</v>
      </c>
      <c r="D876" s="19">
        <v>202500869</v>
      </c>
      <c r="E876">
        <v>13</v>
      </c>
      <c r="F876" t="e">
        <f>Tabela1[[#This Row],[Total de jovens na turma ]]*3</f>
        <v>#N/A</v>
      </c>
      <c r="G876" s="37" t="e">
        <f t="shared" si="28"/>
        <v>#N/A</v>
      </c>
      <c r="H876" s="24">
        <v>6</v>
      </c>
    </row>
    <row r="877" spans="1:8" hidden="1">
      <c r="A877" s="32"/>
      <c r="B877" s="32"/>
      <c r="C877" s="33" t="e">
        <f t="shared" si="27"/>
        <v>#N/A</v>
      </c>
      <c r="D877" s="18">
        <v>202500869</v>
      </c>
      <c r="E877">
        <v>13</v>
      </c>
      <c r="F877" t="e">
        <f>Tabela1[[#This Row],[Total de jovens na turma ]]*3</f>
        <v>#N/A</v>
      </c>
      <c r="G877" s="37" t="e">
        <f t="shared" si="28"/>
        <v>#N/A</v>
      </c>
      <c r="H877" s="24">
        <v>6</v>
      </c>
    </row>
    <row r="878" spans="1:8" hidden="1">
      <c r="A878" s="32"/>
      <c r="B878" s="32"/>
      <c r="C878" s="33" t="e">
        <f t="shared" si="27"/>
        <v>#N/A</v>
      </c>
      <c r="D878" s="19">
        <v>202500868</v>
      </c>
      <c r="E878">
        <v>38</v>
      </c>
      <c r="F878" t="e">
        <f>Tabela1[[#This Row],[Total de jovens na turma ]]*3</f>
        <v>#N/A</v>
      </c>
      <c r="G878" s="37" t="e">
        <f t="shared" si="28"/>
        <v>#N/A</v>
      </c>
      <c r="H878" s="24">
        <v>6</v>
      </c>
    </row>
    <row r="879" spans="1:8" hidden="1">
      <c r="A879" s="32"/>
      <c r="B879" s="32"/>
      <c r="C879" s="33" t="e">
        <f t="shared" si="27"/>
        <v>#N/A</v>
      </c>
      <c r="D879" s="18">
        <v>202500868</v>
      </c>
      <c r="E879">
        <v>38</v>
      </c>
      <c r="F879" t="e">
        <f>Tabela1[[#This Row],[Total de jovens na turma ]]*3</f>
        <v>#N/A</v>
      </c>
      <c r="G879" s="37" t="e">
        <f t="shared" si="28"/>
        <v>#N/A</v>
      </c>
      <c r="H879" s="24">
        <v>6</v>
      </c>
    </row>
    <row r="880" spans="1:8" hidden="1">
      <c r="A880" s="32"/>
      <c r="B880" s="32"/>
      <c r="C880" s="33" t="e">
        <f t="shared" si="27"/>
        <v>#N/A</v>
      </c>
      <c r="D880" s="19">
        <v>202500869</v>
      </c>
      <c r="E880">
        <v>13</v>
      </c>
      <c r="F880" t="e">
        <f>Tabela1[[#This Row],[Total de jovens na turma ]]*3</f>
        <v>#N/A</v>
      </c>
      <c r="G880" s="37" t="e">
        <f t="shared" si="28"/>
        <v>#N/A</v>
      </c>
      <c r="H880" s="24">
        <v>6</v>
      </c>
    </row>
    <row r="881" spans="1:8" hidden="1">
      <c r="A881" s="32"/>
      <c r="B881" s="32"/>
      <c r="C881" s="33" t="e">
        <f t="shared" si="27"/>
        <v>#N/A</v>
      </c>
      <c r="D881" s="18">
        <v>202500869</v>
      </c>
      <c r="E881">
        <v>13</v>
      </c>
      <c r="F881" t="e">
        <f>Tabela1[[#This Row],[Total de jovens na turma ]]*3</f>
        <v>#N/A</v>
      </c>
      <c r="G881" s="37" t="e">
        <f t="shared" si="28"/>
        <v>#N/A</v>
      </c>
      <c r="H881" s="24">
        <v>6</v>
      </c>
    </row>
    <row r="882" spans="1:8" hidden="1">
      <c r="A882" s="32"/>
      <c r="B882" s="32"/>
      <c r="C882" s="33" t="e">
        <f t="shared" si="27"/>
        <v>#N/A</v>
      </c>
      <c r="D882" s="19">
        <v>202500869</v>
      </c>
      <c r="E882">
        <v>13</v>
      </c>
      <c r="F882" t="e">
        <f>Tabela1[[#This Row],[Total de jovens na turma ]]*3</f>
        <v>#N/A</v>
      </c>
      <c r="G882" s="37" t="e">
        <f t="shared" si="28"/>
        <v>#N/A</v>
      </c>
      <c r="H882" s="24">
        <v>6</v>
      </c>
    </row>
    <row r="883" spans="1:8" hidden="1">
      <c r="A883" s="32"/>
      <c r="B883" s="32"/>
      <c r="C883" s="33" t="e">
        <f t="shared" si="27"/>
        <v>#N/A</v>
      </c>
      <c r="D883" s="18">
        <v>202500867</v>
      </c>
      <c r="E883">
        <v>32</v>
      </c>
      <c r="F883" t="e">
        <f>Tabela1[[#This Row],[Total de jovens na turma ]]*3</f>
        <v>#N/A</v>
      </c>
      <c r="G883" s="37" t="e">
        <f t="shared" si="28"/>
        <v>#N/A</v>
      </c>
      <c r="H883" s="24">
        <v>6</v>
      </c>
    </row>
    <row r="884" spans="1:8" hidden="1">
      <c r="A884" s="32"/>
      <c r="B884" s="32"/>
      <c r="C884" s="33" t="e">
        <f t="shared" si="27"/>
        <v>#N/A</v>
      </c>
      <c r="D884" s="19">
        <v>202500868</v>
      </c>
      <c r="E884">
        <v>38</v>
      </c>
      <c r="F884" t="e">
        <f>Tabela1[[#This Row],[Total de jovens na turma ]]*3</f>
        <v>#N/A</v>
      </c>
      <c r="G884" s="37" t="e">
        <f t="shared" si="28"/>
        <v>#N/A</v>
      </c>
      <c r="H884" s="24">
        <v>6</v>
      </c>
    </row>
    <row r="885" spans="1:8" hidden="1">
      <c r="A885" s="32"/>
      <c r="B885" s="32"/>
      <c r="C885" s="33" t="e">
        <f t="shared" si="27"/>
        <v>#N/A</v>
      </c>
      <c r="D885" s="18">
        <v>202500867</v>
      </c>
      <c r="E885">
        <v>32</v>
      </c>
      <c r="F885" t="e">
        <f>Tabela1[[#This Row],[Total de jovens na turma ]]*3</f>
        <v>#N/A</v>
      </c>
      <c r="G885" s="37" t="e">
        <f t="shared" si="28"/>
        <v>#N/A</v>
      </c>
      <c r="H885" s="24">
        <v>6</v>
      </c>
    </row>
    <row r="886" spans="1:8" hidden="1">
      <c r="A886" s="32"/>
      <c r="B886" s="32"/>
      <c r="C886" s="33" t="e">
        <f t="shared" si="27"/>
        <v>#N/A</v>
      </c>
      <c r="D886" s="19">
        <v>202500867</v>
      </c>
      <c r="E886">
        <v>32</v>
      </c>
      <c r="F886" t="e">
        <f>Tabela1[[#This Row],[Total de jovens na turma ]]*3</f>
        <v>#N/A</v>
      </c>
      <c r="G886" s="37" t="e">
        <f t="shared" si="28"/>
        <v>#N/A</v>
      </c>
      <c r="H886" s="24">
        <v>6</v>
      </c>
    </row>
    <row r="887" spans="1:8" hidden="1">
      <c r="A887" s="32"/>
      <c r="B887" s="32"/>
      <c r="C887" s="33" t="e">
        <f t="shared" si="27"/>
        <v>#N/A</v>
      </c>
      <c r="D887" s="18">
        <v>202500869</v>
      </c>
      <c r="E887">
        <v>13</v>
      </c>
      <c r="F887" t="e">
        <f>Tabela1[[#This Row],[Total de jovens na turma ]]*3</f>
        <v>#N/A</v>
      </c>
      <c r="G887" s="37" t="e">
        <f t="shared" si="28"/>
        <v>#N/A</v>
      </c>
      <c r="H887" s="24">
        <v>6</v>
      </c>
    </row>
    <row r="888" spans="1:8" hidden="1">
      <c r="A888" s="32"/>
      <c r="B888" s="32"/>
      <c r="C888" s="33" t="e">
        <f t="shared" si="27"/>
        <v>#N/A</v>
      </c>
      <c r="D888" s="19">
        <v>202500869</v>
      </c>
      <c r="E888">
        <v>13</v>
      </c>
      <c r="F888" t="e">
        <f>Tabela1[[#This Row],[Total de jovens na turma ]]*3</f>
        <v>#N/A</v>
      </c>
      <c r="G888" s="37" t="e">
        <f t="shared" si="28"/>
        <v>#N/A</v>
      </c>
      <c r="H888" s="24">
        <v>6</v>
      </c>
    </row>
    <row r="889" spans="1:8" hidden="1">
      <c r="A889" s="32"/>
      <c r="B889" s="32"/>
      <c r="C889" s="33" t="e">
        <f t="shared" si="27"/>
        <v>#N/A</v>
      </c>
      <c r="D889" s="18">
        <v>202500869</v>
      </c>
      <c r="E889">
        <v>13</v>
      </c>
      <c r="F889" t="e">
        <f>Tabela1[[#This Row],[Total de jovens na turma ]]*3</f>
        <v>#N/A</v>
      </c>
      <c r="G889" s="37" t="e">
        <f t="shared" si="28"/>
        <v>#N/A</v>
      </c>
      <c r="H889" s="24">
        <v>6</v>
      </c>
    </row>
    <row r="890" spans="1:8" hidden="1">
      <c r="A890" s="32"/>
      <c r="B890" s="32"/>
      <c r="C890" s="33" t="e">
        <f t="shared" si="27"/>
        <v>#N/A</v>
      </c>
      <c r="D890" s="19">
        <v>202500868</v>
      </c>
      <c r="E890">
        <v>38</v>
      </c>
      <c r="F890" t="e">
        <f>Tabela1[[#This Row],[Total de jovens na turma ]]*3</f>
        <v>#N/A</v>
      </c>
      <c r="G890" s="37" t="e">
        <f t="shared" si="28"/>
        <v>#N/A</v>
      </c>
      <c r="H890" s="24">
        <v>6</v>
      </c>
    </row>
    <row r="891" spans="1:8" hidden="1">
      <c r="A891" s="32"/>
      <c r="B891" s="32"/>
      <c r="C891" s="33" t="e">
        <f t="shared" si="27"/>
        <v>#N/A</v>
      </c>
      <c r="D891" s="18">
        <v>202500868</v>
      </c>
      <c r="E891">
        <v>38</v>
      </c>
      <c r="F891" t="e">
        <f>Tabela1[[#This Row],[Total de jovens na turma ]]*3</f>
        <v>#N/A</v>
      </c>
      <c r="G891" s="37" t="e">
        <f t="shared" si="28"/>
        <v>#N/A</v>
      </c>
      <c r="H891" s="24">
        <v>6</v>
      </c>
    </row>
    <row r="892" spans="1:8" hidden="1">
      <c r="A892" s="32"/>
      <c r="B892" s="32"/>
      <c r="C892" s="33" t="e">
        <f t="shared" si="27"/>
        <v>#N/A</v>
      </c>
      <c r="D892" s="19">
        <v>202500869</v>
      </c>
      <c r="E892">
        <v>13</v>
      </c>
      <c r="F892" t="e">
        <f>Tabela1[[#This Row],[Total de jovens na turma ]]*3</f>
        <v>#N/A</v>
      </c>
      <c r="G892" s="37" t="e">
        <f t="shared" si="28"/>
        <v>#N/A</v>
      </c>
      <c r="H892" s="24">
        <v>6</v>
      </c>
    </row>
    <row r="893" spans="1:8" hidden="1">
      <c r="A893" s="32"/>
      <c r="B893" s="32"/>
      <c r="C893" s="33" t="e">
        <f t="shared" si="27"/>
        <v>#N/A</v>
      </c>
      <c r="D893" s="18">
        <v>202500868</v>
      </c>
      <c r="E893">
        <v>38</v>
      </c>
      <c r="F893" t="e">
        <f>Tabela1[[#This Row],[Total de jovens na turma ]]*3</f>
        <v>#N/A</v>
      </c>
      <c r="G893" s="37" t="e">
        <f t="shared" si="28"/>
        <v>#N/A</v>
      </c>
      <c r="H893" s="24">
        <v>6</v>
      </c>
    </row>
    <row r="894" spans="1:8" hidden="1">
      <c r="A894" s="32"/>
      <c r="B894" s="32"/>
      <c r="C894" s="33" t="e">
        <f t="shared" si="27"/>
        <v>#N/A</v>
      </c>
      <c r="D894" s="19">
        <v>202500867</v>
      </c>
      <c r="E894">
        <v>32</v>
      </c>
      <c r="F894" t="e">
        <f>Tabela1[[#This Row],[Total de jovens na turma ]]*3</f>
        <v>#N/A</v>
      </c>
      <c r="G894" s="37" t="e">
        <f t="shared" si="28"/>
        <v>#N/A</v>
      </c>
      <c r="H894" s="24">
        <v>6</v>
      </c>
    </row>
    <row r="895" spans="1:8" hidden="1">
      <c r="A895" s="32"/>
      <c r="B895" s="32"/>
      <c r="C895" s="33" t="e">
        <f t="shared" si="27"/>
        <v>#N/A</v>
      </c>
      <c r="D895" s="18">
        <v>202500867</v>
      </c>
      <c r="E895">
        <v>32</v>
      </c>
      <c r="F895" t="e">
        <f>Tabela1[[#This Row],[Total de jovens na turma ]]*3</f>
        <v>#N/A</v>
      </c>
      <c r="G895" s="37" t="e">
        <f t="shared" si="28"/>
        <v>#N/A</v>
      </c>
      <c r="H895" s="24">
        <v>6</v>
      </c>
    </row>
    <row r="896" spans="1:8" hidden="1">
      <c r="A896" s="32"/>
      <c r="B896" s="32"/>
      <c r="C896" s="33" t="e">
        <f t="shared" si="27"/>
        <v>#N/A</v>
      </c>
      <c r="D896" s="19">
        <v>202500867</v>
      </c>
      <c r="E896">
        <v>32</v>
      </c>
      <c r="F896" t="e">
        <f>Tabela1[[#This Row],[Total de jovens na turma ]]*3</f>
        <v>#N/A</v>
      </c>
      <c r="G896" s="37" t="e">
        <f t="shared" si="28"/>
        <v>#N/A</v>
      </c>
      <c r="H896" s="24">
        <v>6</v>
      </c>
    </row>
    <row r="897" spans="1:8" hidden="1">
      <c r="A897" s="32"/>
      <c r="B897" s="32"/>
      <c r="C897" s="33" t="e">
        <f t="shared" si="27"/>
        <v>#N/A</v>
      </c>
      <c r="D897" s="18">
        <v>202500867</v>
      </c>
      <c r="E897">
        <v>32</v>
      </c>
      <c r="F897" t="e">
        <f>Tabela1[[#This Row],[Total de jovens na turma ]]*3</f>
        <v>#N/A</v>
      </c>
      <c r="G897" s="37" t="e">
        <f t="shared" si="28"/>
        <v>#N/A</v>
      </c>
      <c r="H897" s="24">
        <v>6</v>
      </c>
    </row>
    <row r="898" spans="1:8" hidden="1">
      <c r="A898" s="32"/>
      <c r="B898" s="32"/>
      <c r="C898" s="33" t="e">
        <f t="shared" si="27"/>
        <v>#N/A</v>
      </c>
      <c r="D898" s="19">
        <v>202500867</v>
      </c>
      <c r="E898">
        <v>32</v>
      </c>
      <c r="F898" t="e">
        <f>Tabela1[[#This Row],[Total de jovens na turma ]]*3</f>
        <v>#N/A</v>
      </c>
      <c r="G898" s="37" t="e">
        <f t="shared" si="28"/>
        <v>#N/A</v>
      </c>
      <c r="H898" s="24">
        <v>6</v>
      </c>
    </row>
    <row r="899" spans="1:8" hidden="1">
      <c r="A899" s="32"/>
      <c r="B899" s="32"/>
      <c r="C899" s="33" t="e">
        <f t="shared" si="27"/>
        <v>#N/A</v>
      </c>
      <c r="D899" s="18">
        <v>202500867</v>
      </c>
      <c r="E899">
        <v>32</v>
      </c>
      <c r="F899" t="e">
        <f>Tabela1[[#This Row],[Total de jovens na turma ]]*3</f>
        <v>#N/A</v>
      </c>
      <c r="G899" s="37" t="e">
        <f t="shared" si="28"/>
        <v>#N/A</v>
      </c>
      <c r="H899" s="24">
        <v>6</v>
      </c>
    </row>
    <row r="900" spans="1:8" hidden="1">
      <c r="A900" s="32"/>
      <c r="B900" s="32"/>
      <c r="C900" s="33" t="e">
        <f t="shared" si="27"/>
        <v>#N/A</v>
      </c>
      <c r="D900" s="19">
        <v>202500867</v>
      </c>
      <c r="E900">
        <v>32</v>
      </c>
      <c r="F900" t="e">
        <f>Tabela1[[#This Row],[Total de jovens na turma ]]*3</f>
        <v>#N/A</v>
      </c>
      <c r="G900" s="37" t="e">
        <f t="shared" si="28"/>
        <v>#N/A</v>
      </c>
      <c r="H900" s="24">
        <v>6</v>
      </c>
    </row>
    <row r="901" spans="1:8" hidden="1">
      <c r="A901" s="32"/>
      <c r="B901" s="32"/>
      <c r="C901" s="33" t="e">
        <f t="shared" ref="C901:C964" si="29">VLOOKUP(A901,D:E,2,0)</f>
        <v>#N/A</v>
      </c>
      <c r="D901" s="18">
        <v>202500867</v>
      </c>
      <c r="E901">
        <v>32</v>
      </c>
      <c r="F901" t="e">
        <f>Tabela1[[#This Row],[Total de jovens na turma ]]*3</f>
        <v>#N/A</v>
      </c>
      <c r="G901" s="37" t="e">
        <f t="shared" si="28"/>
        <v>#N/A</v>
      </c>
      <c r="H901" s="24">
        <v>6</v>
      </c>
    </row>
    <row r="902" spans="1:8" hidden="1">
      <c r="A902" s="32"/>
      <c r="B902" s="32"/>
      <c r="C902" s="33" t="e">
        <f t="shared" si="29"/>
        <v>#N/A</v>
      </c>
      <c r="D902" s="19">
        <v>202500868</v>
      </c>
      <c r="E902">
        <v>38</v>
      </c>
      <c r="F902" t="e">
        <f>Tabela1[[#This Row],[Total de jovens na turma ]]*3</f>
        <v>#N/A</v>
      </c>
      <c r="G902" s="37" t="e">
        <f t="shared" si="28"/>
        <v>#N/A</v>
      </c>
      <c r="H902" s="24">
        <v>6</v>
      </c>
    </row>
    <row r="903" spans="1:8" hidden="1">
      <c r="A903" s="32"/>
      <c r="B903" s="32"/>
      <c r="C903" s="33" t="e">
        <f t="shared" si="29"/>
        <v>#N/A</v>
      </c>
      <c r="D903" s="18">
        <v>202500869</v>
      </c>
      <c r="E903">
        <v>13</v>
      </c>
      <c r="F903" t="e">
        <f>Tabela1[[#This Row],[Total de jovens na turma ]]*3</f>
        <v>#N/A</v>
      </c>
      <c r="G903" s="37" t="e">
        <f t="shared" ref="G903:G915" si="30">F903/24</f>
        <v>#N/A</v>
      </c>
      <c r="H903" s="24">
        <v>6</v>
      </c>
    </row>
    <row r="904" spans="1:8" hidden="1">
      <c r="A904" s="32"/>
      <c r="B904" s="32"/>
      <c r="C904" s="33" t="e">
        <f t="shared" si="29"/>
        <v>#N/A</v>
      </c>
      <c r="D904" s="19">
        <v>202500867</v>
      </c>
      <c r="E904">
        <v>32</v>
      </c>
      <c r="F904" t="e">
        <f>Tabela1[[#This Row],[Total de jovens na turma ]]*3</f>
        <v>#N/A</v>
      </c>
      <c r="G904" s="37" t="e">
        <f t="shared" si="30"/>
        <v>#N/A</v>
      </c>
      <c r="H904" s="24">
        <v>6</v>
      </c>
    </row>
    <row r="905" spans="1:8" hidden="1">
      <c r="A905" s="32"/>
      <c r="B905" s="32"/>
      <c r="C905" s="33" t="e">
        <f t="shared" si="29"/>
        <v>#N/A</v>
      </c>
      <c r="D905" s="30"/>
      <c r="E905">
        <v>0</v>
      </c>
      <c r="F905" t="e">
        <f>Tabela1[[#This Row],[Total de jovens na turma ]]*3</f>
        <v>#N/A</v>
      </c>
      <c r="G905" s="37" t="e">
        <f t="shared" si="30"/>
        <v>#N/A</v>
      </c>
      <c r="H905" s="24">
        <v>6</v>
      </c>
    </row>
    <row r="906" spans="1:8" hidden="1">
      <c r="A906" s="32"/>
      <c r="B906" s="32"/>
      <c r="C906" s="33" t="e">
        <f t="shared" si="29"/>
        <v>#N/A</v>
      </c>
      <c r="D906" s="31"/>
      <c r="E906">
        <v>0</v>
      </c>
      <c r="F906" t="e">
        <f>Tabela1[[#This Row],[Total de jovens na turma ]]*3</f>
        <v>#N/A</v>
      </c>
      <c r="G906" s="37" t="e">
        <f t="shared" si="30"/>
        <v>#N/A</v>
      </c>
      <c r="H906" s="24">
        <v>6</v>
      </c>
    </row>
    <row r="907" spans="1:8" hidden="1">
      <c r="A907" s="32"/>
      <c r="B907" s="32"/>
      <c r="C907" s="33" t="e">
        <f t="shared" si="29"/>
        <v>#N/A</v>
      </c>
      <c r="D907" s="30"/>
      <c r="E907">
        <v>0</v>
      </c>
      <c r="F907" t="e">
        <f>Tabela1[[#This Row],[Total de jovens na turma ]]*3</f>
        <v>#N/A</v>
      </c>
      <c r="G907" s="37" t="e">
        <f t="shared" si="30"/>
        <v>#N/A</v>
      </c>
      <c r="H907" s="24">
        <v>6</v>
      </c>
    </row>
    <row r="908" spans="1:8" hidden="1">
      <c r="A908" s="32"/>
      <c r="B908" s="32"/>
      <c r="C908" s="33" t="e">
        <f t="shared" si="29"/>
        <v>#N/A</v>
      </c>
      <c r="D908" s="31"/>
      <c r="E908">
        <v>0</v>
      </c>
      <c r="F908" t="e">
        <f>Tabela1[[#This Row],[Total de jovens na turma ]]*3</f>
        <v>#N/A</v>
      </c>
      <c r="G908" s="37" t="e">
        <f t="shared" si="30"/>
        <v>#N/A</v>
      </c>
      <c r="H908" s="24">
        <v>6</v>
      </c>
    </row>
    <row r="909" spans="1:8" hidden="1">
      <c r="A909" s="32"/>
      <c r="B909" s="32"/>
      <c r="C909" s="33" t="e">
        <f t="shared" si="29"/>
        <v>#N/A</v>
      </c>
      <c r="D909" s="30"/>
      <c r="E909">
        <v>0</v>
      </c>
      <c r="F909" t="e">
        <f>Tabela1[[#This Row],[Total de jovens na turma ]]*3</f>
        <v>#N/A</v>
      </c>
      <c r="G909" s="37" t="e">
        <f t="shared" si="30"/>
        <v>#N/A</v>
      </c>
      <c r="H909" s="24">
        <v>6</v>
      </c>
    </row>
    <row r="910" spans="1:8" hidden="1">
      <c r="A910" s="32"/>
      <c r="B910" s="32"/>
      <c r="C910" s="33" t="e">
        <f t="shared" si="29"/>
        <v>#N/A</v>
      </c>
      <c r="D910" s="31"/>
      <c r="E910">
        <v>0</v>
      </c>
      <c r="F910" t="e">
        <f>Tabela1[[#This Row],[Total de jovens na turma ]]*3</f>
        <v>#N/A</v>
      </c>
      <c r="G910" s="37" t="e">
        <f t="shared" si="30"/>
        <v>#N/A</v>
      </c>
      <c r="H910" s="24">
        <v>6</v>
      </c>
    </row>
    <row r="911" spans="1:8" hidden="1">
      <c r="A911" s="32"/>
      <c r="B911" s="32"/>
      <c r="C911" s="33" t="e">
        <f t="shared" si="29"/>
        <v>#N/A</v>
      </c>
      <c r="D911" s="30"/>
      <c r="E911">
        <v>0</v>
      </c>
      <c r="F911" t="e">
        <f>Tabela1[[#This Row],[Total de jovens na turma ]]*3</f>
        <v>#N/A</v>
      </c>
      <c r="G911" s="37" t="e">
        <f t="shared" si="30"/>
        <v>#N/A</v>
      </c>
      <c r="H911" s="24">
        <v>6</v>
      </c>
    </row>
    <row r="912" spans="1:8" hidden="1">
      <c r="A912" s="32"/>
      <c r="B912" s="32"/>
      <c r="C912" s="33" t="e">
        <f t="shared" si="29"/>
        <v>#N/A</v>
      </c>
      <c r="D912" s="31"/>
      <c r="E912">
        <v>0</v>
      </c>
      <c r="F912" t="e">
        <f>Tabela1[[#This Row],[Total de jovens na turma ]]*3</f>
        <v>#N/A</v>
      </c>
      <c r="G912" s="37" t="e">
        <f t="shared" si="30"/>
        <v>#N/A</v>
      </c>
      <c r="H912" s="24">
        <v>6</v>
      </c>
    </row>
    <row r="913" spans="1:11" hidden="1">
      <c r="A913" s="32"/>
      <c r="B913" s="32"/>
      <c r="C913" s="33" t="e">
        <f t="shared" si="29"/>
        <v>#N/A</v>
      </c>
      <c r="D913" s="30"/>
      <c r="E913">
        <v>0</v>
      </c>
      <c r="F913" t="e">
        <f>Tabela1[[#This Row],[Total de jovens na turma ]]*3</f>
        <v>#N/A</v>
      </c>
      <c r="G913" s="37" t="e">
        <f t="shared" si="30"/>
        <v>#N/A</v>
      </c>
      <c r="H913" s="24">
        <v>6</v>
      </c>
    </row>
    <row r="914" spans="1:11" hidden="1">
      <c r="A914" s="32"/>
      <c r="B914" s="32"/>
      <c r="C914" s="33" t="e">
        <f t="shared" si="29"/>
        <v>#N/A</v>
      </c>
      <c r="D914" s="31"/>
      <c r="E914">
        <v>0</v>
      </c>
      <c r="F914" t="e">
        <f>Tabela1[[#This Row],[Total de jovens na turma ]]*3</f>
        <v>#N/A</v>
      </c>
      <c r="G914" s="37" t="e">
        <f t="shared" si="30"/>
        <v>#N/A</v>
      </c>
      <c r="H914" s="24">
        <v>6</v>
      </c>
    </row>
    <row r="915" spans="1:11" hidden="1">
      <c r="A915" s="32"/>
      <c r="B915" s="32"/>
      <c r="C915" s="33" t="e">
        <f t="shared" si="29"/>
        <v>#N/A</v>
      </c>
      <c r="D915" s="30"/>
      <c r="E915">
        <v>0</v>
      </c>
      <c r="F915" t="e">
        <f>Tabela1[[#This Row],[Total de jovens na turma ]]*3</f>
        <v>#N/A</v>
      </c>
      <c r="G915" s="37" t="e">
        <f t="shared" si="30"/>
        <v>#N/A</v>
      </c>
      <c r="H915" s="24">
        <v>6</v>
      </c>
    </row>
    <row r="916" spans="1:11" ht="15.75">
      <c r="A916" s="35" t="s">
        <v>47</v>
      </c>
      <c r="B916" s="199">
        <f>SUM(C5:C35)</f>
        <v>918</v>
      </c>
      <c r="C916" s="200"/>
      <c r="I916" s="48" t="s">
        <v>48</v>
      </c>
      <c r="J916" s="95"/>
      <c r="K916" s="95"/>
    </row>
    <row r="917" spans="1:11" ht="15.75">
      <c r="A917" s="36" t="s">
        <v>49</v>
      </c>
      <c r="B917" s="201">
        <f>COUNTA(Tabela1[Turma])</f>
        <v>31</v>
      </c>
      <c r="C917" s="202"/>
      <c r="I917" s="49">
        <f>AVERAGE(Tabela3[[Total de horas para os atendimentos por turma ]])</f>
        <v>4.0188172043010759</v>
      </c>
      <c r="J917" s="96"/>
      <c r="K917" s="96"/>
    </row>
    <row r="918" spans="1:11">
      <c r="A918" s="17" t="s">
        <v>50</v>
      </c>
      <c r="B918" s="203">
        <f>SUM(B5:B35)</f>
        <v>504</v>
      </c>
      <c r="C918" s="204"/>
    </row>
  </sheetData>
  <mergeCells count="5">
    <mergeCell ref="L8:R17"/>
    <mergeCell ref="B916:C916"/>
    <mergeCell ref="B917:C917"/>
    <mergeCell ref="B918:C918"/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AC9F-C15E-4B89-9687-6854BE1DD4A0}">
  <sheetPr codeName="Planilha4">
    <tabColor theme="5"/>
  </sheetPr>
  <dimension ref="A1:Z30"/>
  <sheetViews>
    <sheetView topLeftCell="A2" workbookViewId="0">
      <selection activeCell="H28" sqref="H27:H28"/>
    </sheetView>
  </sheetViews>
  <sheetFormatPr defaultRowHeight="18.75"/>
  <cols>
    <col min="1" max="1" width="14.28515625" style="67" bestFit="1" customWidth="1"/>
    <col min="3" max="3" width="21.85546875" customWidth="1"/>
    <col min="4" max="4" width="14.7109375" bestFit="1" customWidth="1"/>
    <col min="5" max="5" width="12.28515625" bestFit="1" customWidth="1"/>
    <col min="6" max="6" width="0" hidden="1" customWidth="1"/>
    <col min="7" max="13" width="14.140625" customWidth="1"/>
    <col min="14" max="14" width="9.140625" hidden="1" customWidth="1"/>
    <col min="15" max="16" width="0" hidden="1" customWidth="1"/>
    <col min="17" max="17" width="13" hidden="1" customWidth="1"/>
    <col min="18" max="18" width="163.140625" hidden="1" customWidth="1"/>
    <col min="19" max="19" width="23.28515625" hidden="1" customWidth="1"/>
    <col min="20" max="20" width="23.28515625" customWidth="1"/>
    <col min="21" max="21" width="65.5703125" hidden="1" customWidth="1"/>
    <col min="22" max="22" width="15" hidden="1" customWidth="1"/>
    <col min="23" max="23" width="15.42578125" hidden="1" customWidth="1"/>
    <col min="24" max="24" width="18.7109375" hidden="1" customWidth="1"/>
    <col min="25" max="25" width="17.28515625" hidden="1" customWidth="1"/>
    <col min="26" max="26" width="14" hidden="1" customWidth="1"/>
  </cols>
  <sheetData>
    <row r="1" spans="1:26" ht="15">
      <c r="A1" s="208" t="s">
        <v>51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26" ht="60.75">
      <c r="A2" s="68" t="s">
        <v>39</v>
      </c>
      <c r="B2" s="69" t="s">
        <v>52</v>
      </c>
      <c r="C2" s="69" t="s">
        <v>53</v>
      </c>
      <c r="D2" s="69" t="s">
        <v>54</v>
      </c>
      <c r="E2" s="69" t="s">
        <v>55</v>
      </c>
      <c r="F2" s="26"/>
      <c r="G2" s="70" t="s">
        <v>56</v>
      </c>
      <c r="H2" s="70"/>
      <c r="I2" s="70"/>
      <c r="J2" s="70"/>
      <c r="K2" s="70"/>
      <c r="L2" s="70"/>
      <c r="M2" s="70"/>
      <c r="N2" s="75"/>
      <c r="Q2" s="78" t="s">
        <v>57</v>
      </c>
      <c r="R2" s="78"/>
      <c r="S2" s="78"/>
      <c r="T2" s="70" t="s">
        <v>57</v>
      </c>
      <c r="U2" s="78"/>
      <c r="V2" s="78"/>
      <c r="W2" s="78"/>
      <c r="X2" s="78"/>
      <c r="Y2" s="78"/>
      <c r="Z2" s="78"/>
    </row>
    <row r="3" spans="1:26">
      <c r="A3" s="71">
        <v>202400989</v>
      </c>
      <c r="B3" s="41">
        <v>1</v>
      </c>
      <c r="C3" s="72">
        <f>100/24</f>
        <v>4.166666666666667</v>
      </c>
      <c r="D3" s="72">
        <f>C3/3</f>
        <v>1.3888888888888891</v>
      </c>
      <c r="E3" s="41"/>
      <c r="F3" s="210"/>
      <c r="G3" s="74">
        <v>8.3333333333333332E-3</v>
      </c>
      <c r="H3" s="74">
        <v>1.9444444444444445E-2</v>
      </c>
      <c r="I3" s="74">
        <v>1.1111111111111112E-2</v>
      </c>
      <c r="J3" s="25"/>
      <c r="K3" s="25"/>
      <c r="L3" s="25"/>
      <c r="M3" s="25"/>
      <c r="N3" s="22"/>
      <c r="Q3" s="52"/>
      <c r="R3" s="52"/>
      <c r="S3" s="52"/>
      <c r="T3" s="88">
        <f>SUM(G3:M3)</f>
        <v>3.888888888888889E-2</v>
      </c>
      <c r="U3" s="52"/>
      <c r="V3" s="52"/>
      <c r="W3" s="52"/>
      <c r="X3" s="52"/>
      <c r="Y3" s="52"/>
      <c r="Z3" s="52"/>
    </row>
    <row r="4" spans="1:26">
      <c r="A4" s="71">
        <v>202400990</v>
      </c>
      <c r="B4" s="41">
        <v>2</v>
      </c>
      <c r="C4" s="72">
        <f>50/24</f>
        <v>2.0833333333333335</v>
      </c>
      <c r="D4" s="72">
        <f>C4/3</f>
        <v>0.69444444444444453</v>
      </c>
      <c r="E4" s="41"/>
      <c r="F4" s="210"/>
      <c r="G4" s="74">
        <v>8.3333333333333332E-3</v>
      </c>
      <c r="H4" s="74">
        <v>3.125E-2</v>
      </c>
      <c r="I4" s="74">
        <v>1.6666666666666666E-2</v>
      </c>
      <c r="J4" s="74">
        <v>3.888888888888889E-2</v>
      </c>
      <c r="K4" s="74">
        <v>2.2222222222222223E-2</v>
      </c>
      <c r="L4" s="25"/>
      <c r="M4" s="25"/>
      <c r="N4" s="22"/>
      <c r="Q4" s="51" t="s">
        <v>58</v>
      </c>
      <c r="R4" s="51" t="s">
        <v>59</v>
      </c>
      <c r="S4" s="79" t="s">
        <v>60</v>
      </c>
      <c r="T4" s="88">
        <f t="shared" ref="T4:T23" si="0">SUM(G4:M4)</f>
        <v>0.11736111111111111</v>
      </c>
      <c r="U4" s="82" t="s">
        <v>61</v>
      </c>
      <c r="V4" s="51" t="s">
        <v>62</v>
      </c>
      <c r="W4" s="51" t="s">
        <v>63</v>
      </c>
      <c r="X4" s="51" t="s">
        <v>64</v>
      </c>
      <c r="Y4" s="51" t="s">
        <v>65</v>
      </c>
      <c r="Z4" s="51" t="s">
        <v>66</v>
      </c>
    </row>
    <row r="5" spans="1:26">
      <c r="A5" s="71">
        <v>202400991</v>
      </c>
      <c r="B5" s="41">
        <v>8</v>
      </c>
      <c r="C5" s="72">
        <f>12.5/24</f>
        <v>0.52083333333333337</v>
      </c>
      <c r="D5" s="72">
        <f t="shared" ref="D5:D23" si="1">C5/3</f>
        <v>0.17361111111111113</v>
      </c>
      <c r="E5" s="41"/>
      <c r="F5" s="210"/>
      <c r="G5" s="74">
        <v>7.3611111111111113E-2</v>
      </c>
      <c r="H5" s="25"/>
      <c r="I5" s="25"/>
      <c r="J5" s="25"/>
      <c r="K5" s="25"/>
      <c r="L5" s="25"/>
      <c r="M5" s="25"/>
      <c r="N5" s="22"/>
      <c r="Q5" s="53">
        <v>45862</v>
      </c>
      <c r="R5" s="54" t="s">
        <v>67</v>
      </c>
      <c r="S5" s="80" t="s">
        <v>68</v>
      </c>
      <c r="T5" s="88">
        <f t="shared" si="0"/>
        <v>7.3611111111111113E-2</v>
      </c>
      <c r="U5" s="83" t="s">
        <v>69</v>
      </c>
      <c r="V5" s="61">
        <v>3.2638888888888891E-2</v>
      </c>
      <c r="W5" s="56"/>
      <c r="X5" s="56"/>
      <c r="Y5" s="61">
        <v>9.7916666666666666E-2</v>
      </c>
      <c r="Z5" s="55" t="s">
        <v>70</v>
      </c>
    </row>
    <row r="6" spans="1:26">
      <c r="A6" s="71">
        <v>202401099</v>
      </c>
      <c r="B6" s="41">
        <v>1</v>
      </c>
      <c r="C6" s="72">
        <f>100/24</f>
        <v>4.166666666666667</v>
      </c>
      <c r="D6" s="72">
        <f t="shared" si="1"/>
        <v>1.3888888888888891</v>
      </c>
      <c r="E6" s="41"/>
      <c r="F6" s="210"/>
      <c r="G6" s="74">
        <v>5.9722222222222225E-2</v>
      </c>
      <c r="H6" s="25"/>
      <c r="I6" s="25"/>
      <c r="J6" s="25"/>
      <c r="K6" s="25"/>
      <c r="L6" s="25"/>
      <c r="M6" s="25"/>
      <c r="N6" s="22"/>
      <c r="Q6" s="53">
        <v>45862</v>
      </c>
      <c r="R6" s="54" t="s">
        <v>71</v>
      </c>
      <c r="S6" s="80" t="s">
        <v>72</v>
      </c>
      <c r="T6" s="87">
        <f t="shared" si="0"/>
        <v>5.9722222222222225E-2</v>
      </c>
      <c r="U6" s="84">
        <v>202401099</v>
      </c>
      <c r="V6" s="61">
        <v>5.9722222222222225E-2</v>
      </c>
      <c r="W6" s="56"/>
      <c r="X6" s="56"/>
      <c r="Y6" s="61">
        <v>5.9722222222222225E-2</v>
      </c>
      <c r="Z6" s="55" t="s">
        <v>70</v>
      </c>
    </row>
    <row r="7" spans="1:26">
      <c r="A7" s="71">
        <v>202500030</v>
      </c>
      <c r="B7" s="41">
        <v>3</v>
      </c>
      <c r="C7" s="72">
        <f>33/24</f>
        <v>1.375</v>
      </c>
      <c r="D7" s="72">
        <f t="shared" si="1"/>
        <v>0.45833333333333331</v>
      </c>
      <c r="E7" s="41"/>
      <c r="F7" s="210"/>
      <c r="G7" s="73">
        <v>0.10625</v>
      </c>
      <c r="H7" s="73">
        <v>5.2777777777777778E-2</v>
      </c>
      <c r="I7" s="73">
        <v>1.3888888888888888E-2</v>
      </c>
      <c r="J7" s="73">
        <v>5.6250000000000001E-2</v>
      </c>
      <c r="K7" s="73">
        <v>2.6388888888888889E-2</v>
      </c>
      <c r="L7" s="73">
        <v>2.0833333333333332E-2</v>
      </c>
      <c r="M7" s="73">
        <v>3.2638888888888891E-2</v>
      </c>
      <c r="N7" s="22"/>
      <c r="Q7" s="53">
        <v>45866</v>
      </c>
      <c r="R7" s="54" t="s">
        <v>73</v>
      </c>
      <c r="S7" s="80" t="s">
        <v>68</v>
      </c>
      <c r="T7" s="87">
        <f t="shared" si="0"/>
        <v>0.30902777777777773</v>
      </c>
      <c r="U7" s="83" t="s">
        <v>69</v>
      </c>
      <c r="V7" s="61">
        <v>5.6250000000000001E-2</v>
      </c>
      <c r="W7" s="56"/>
      <c r="X7" s="56"/>
      <c r="Y7" s="61">
        <v>0.1701388888888889</v>
      </c>
      <c r="Z7" s="55" t="s">
        <v>70</v>
      </c>
    </row>
    <row r="8" spans="1:26">
      <c r="A8" s="71">
        <v>202500034</v>
      </c>
      <c r="B8" s="41">
        <v>4</v>
      </c>
      <c r="C8" s="72">
        <f>25/24</f>
        <v>1.0416666666666667</v>
      </c>
      <c r="D8" s="72">
        <f t="shared" si="1"/>
        <v>0.34722222222222227</v>
      </c>
      <c r="E8" s="41"/>
      <c r="F8" s="210"/>
      <c r="G8" s="73">
        <v>0.45069444444444445</v>
      </c>
      <c r="H8" s="73">
        <v>8.3333333333333332E-3</v>
      </c>
      <c r="I8" s="73">
        <v>3.125E-2</v>
      </c>
      <c r="J8" s="73">
        <v>5.2777777777777778E-2</v>
      </c>
      <c r="K8" s="73">
        <v>2.0833333333333332E-2</v>
      </c>
      <c r="L8" s="73">
        <v>2.0833333333333332E-2</v>
      </c>
      <c r="M8" s="73"/>
      <c r="N8" s="22"/>
      <c r="Q8" s="53">
        <v>45868</v>
      </c>
      <c r="R8" s="54" t="s">
        <v>74</v>
      </c>
      <c r="S8" s="80" t="s">
        <v>68</v>
      </c>
      <c r="T8" s="87">
        <f t="shared" si="0"/>
        <v>0.58472222222222237</v>
      </c>
      <c r="U8" s="83" t="s">
        <v>69</v>
      </c>
      <c r="V8" s="61">
        <v>1.3888888888888888E-2</v>
      </c>
      <c r="W8" s="56"/>
      <c r="X8" s="56"/>
      <c r="Y8" s="61">
        <v>4.2361111111111113E-2</v>
      </c>
      <c r="Z8" s="55" t="s">
        <v>70</v>
      </c>
    </row>
    <row r="9" spans="1:26">
      <c r="A9" s="71">
        <v>202500119</v>
      </c>
      <c r="B9" s="41">
        <v>2</v>
      </c>
      <c r="C9" s="72">
        <f>50/24</f>
        <v>2.0833333333333335</v>
      </c>
      <c r="D9" s="72">
        <f t="shared" si="1"/>
        <v>0.69444444444444453</v>
      </c>
      <c r="E9" s="41"/>
      <c r="F9" s="210"/>
      <c r="G9" s="25"/>
      <c r="H9" s="74">
        <v>5.2777777777777778E-2</v>
      </c>
      <c r="I9" s="74">
        <v>1.3888888888888888E-2</v>
      </c>
      <c r="J9" s="74">
        <v>5.6250000000000001E-2</v>
      </c>
      <c r="K9" s="74"/>
      <c r="L9" s="74"/>
      <c r="M9" s="74">
        <v>3.2638888888888891E-2</v>
      </c>
      <c r="N9" s="22"/>
      <c r="Q9" s="53">
        <v>45869</v>
      </c>
      <c r="R9" s="54" t="s">
        <v>75</v>
      </c>
      <c r="S9" s="80" t="s">
        <v>72</v>
      </c>
      <c r="T9" s="87">
        <f t="shared" si="0"/>
        <v>0.15555555555555556</v>
      </c>
      <c r="U9" s="84">
        <v>202500358</v>
      </c>
      <c r="V9" s="77">
        <v>4.1666666666666664E-2</v>
      </c>
      <c r="W9" s="56"/>
      <c r="X9" s="56"/>
      <c r="Y9" s="61">
        <v>4.1666666666666664E-2</v>
      </c>
      <c r="Z9" s="55" t="s">
        <v>70</v>
      </c>
    </row>
    <row r="10" spans="1:26">
      <c r="A10" s="71">
        <v>202500120</v>
      </c>
      <c r="B10" s="41">
        <v>1</v>
      </c>
      <c r="C10" s="72">
        <f>100/24</f>
        <v>4.166666666666667</v>
      </c>
      <c r="D10" s="72">
        <f t="shared" si="1"/>
        <v>1.3888888888888891</v>
      </c>
      <c r="E10" s="41"/>
      <c r="F10" s="210"/>
      <c r="G10" s="74">
        <v>8.3333333333333332E-3</v>
      </c>
      <c r="H10" s="74">
        <v>3.125E-2</v>
      </c>
      <c r="I10" s="25"/>
      <c r="J10" s="25"/>
      <c r="K10" s="25"/>
      <c r="L10" s="25"/>
      <c r="M10" s="25"/>
      <c r="N10" s="22"/>
      <c r="Q10" s="53">
        <v>45869</v>
      </c>
      <c r="R10" s="54" t="s">
        <v>76</v>
      </c>
      <c r="S10" s="80" t="s">
        <v>68</v>
      </c>
      <c r="T10" s="87">
        <f t="shared" si="0"/>
        <v>3.9583333333333331E-2</v>
      </c>
      <c r="U10" s="83" t="s">
        <v>69</v>
      </c>
      <c r="V10" s="61">
        <v>5.2777777777777778E-2</v>
      </c>
      <c r="W10" s="56"/>
      <c r="X10" s="56"/>
      <c r="Y10" s="61">
        <v>0.15902777777777777</v>
      </c>
      <c r="Z10" s="55" t="s">
        <v>70</v>
      </c>
    </row>
    <row r="11" spans="1:26">
      <c r="A11" s="71">
        <v>202500121</v>
      </c>
      <c r="B11" s="41">
        <v>7</v>
      </c>
      <c r="C11" s="72">
        <f>14/24</f>
        <v>0.58333333333333337</v>
      </c>
      <c r="D11" s="72">
        <f t="shared" si="1"/>
        <v>0.19444444444444445</v>
      </c>
      <c r="E11" s="41"/>
      <c r="F11" s="210"/>
      <c r="G11" s="25"/>
      <c r="H11" s="74">
        <v>5.2777777777777778E-2</v>
      </c>
      <c r="I11" s="74">
        <v>1.3888888888888888E-2</v>
      </c>
      <c r="J11" s="74">
        <v>5.6250000000000001E-2</v>
      </c>
      <c r="K11" s="74"/>
      <c r="L11" s="74"/>
      <c r="M11" s="74">
        <v>3.2638888888888891E-2</v>
      </c>
      <c r="N11" s="22"/>
      <c r="Q11" s="53">
        <v>45869</v>
      </c>
      <c r="R11" s="54" t="s">
        <v>77</v>
      </c>
      <c r="S11" s="80" t="s">
        <v>78</v>
      </c>
      <c r="T11" s="87">
        <f t="shared" si="0"/>
        <v>0.15555555555555556</v>
      </c>
      <c r="U11" s="83" t="s">
        <v>79</v>
      </c>
      <c r="V11" s="61">
        <v>8.3333333333333332E-3</v>
      </c>
      <c r="W11" s="56"/>
      <c r="X11" s="56"/>
      <c r="Y11" s="61">
        <v>4.1666666666666664E-2</v>
      </c>
      <c r="Z11" s="55" t="s">
        <v>70</v>
      </c>
    </row>
    <row r="12" spans="1:26">
      <c r="A12" s="71">
        <v>202500132</v>
      </c>
      <c r="B12" s="41">
        <v>2</v>
      </c>
      <c r="C12" s="72">
        <f>50/24</f>
        <v>2.0833333333333335</v>
      </c>
      <c r="D12" s="72">
        <f t="shared" si="1"/>
        <v>0.69444444444444453</v>
      </c>
      <c r="E12" s="41"/>
      <c r="F12" s="210"/>
      <c r="G12" s="74">
        <v>2.0833333333333332E-2</v>
      </c>
      <c r="H12" s="74">
        <v>1.3888888888888888E-2</v>
      </c>
      <c r="I12" s="74">
        <v>7.6388888888888886E-3</v>
      </c>
      <c r="J12" s="25"/>
      <c r="K12" s="25"/>
      <c r="L12" s="25"/>
      <c r="M12" s="25"/>
      <c r="N12" s="22"/>
      <c r="Q12" s="53">
        <v>45875</v>
      </c>
      <c r="R12" s="54" t="s">
        <v>80</v>
      </c>
      <c r="S12" s="80" t="s">
        <v>78</v>
      </c>
      <c r="T12" s="87">
        <f t="shared" si="0"/>
        <v>4.2361111111111113E-2</v>
      </c>
      <c r="U12" s="83" t="s">
        <v>79</v>
      </c>
      <c r="V12" s="61">
        <v>3.125E-2</v>
      </c>
      <c r="W12" s="56"/>
      <c r="X12" s="56"/>
      <c r="Y12" s="61">
        <v>0.15694444444444444</v>
      </c>
      <c r="Z12" s="55" t="s">
        <v>70</v>
      </c>
    </row>
    <row r="13" spans="1:26">
      <c r="A13" s="71">
        <v>202500298</v>
      </c>
      <c r="B13" s="41">
        <v>2</v>
      </c>
      <c r="C13" s="72">
        <f>50/24</f>
        <v>2.0833333333333335</v>
      </c>
      <c r="D13" s="72">
        <f t="shared" si="1"/>
        <v>0.69444444444444453</v>
      </c>
      <c r="E13" s="41"/>
      <c r="F13" s="210"/>
      <c r="G13" s="73">
        <v>3.888888888888889E-2</v>
      </c>
      <c r="H13" s="73">
        <v>2.6388888888888889E-2</v>
      </c>
      <c r="I13" s="73">
        <v>2.0833333333333332E-2</v>
      </c>
      <c r="J13" s="73"/>
      <c r="K13" s="73"/>
      <c r="L13" s="73"/>
      <c r="M13" s="73"/>
      <c r="N13" s="22"/>
      <c r="Q13" s="53">
        <v>45876</v>
      </c>
      <c r="R13" s="54" t="s">
        <v>81</v>
      </c>
      <c r="S13" s="80" t="s">
        <v>82</v>
      </c>
      <c r="T13" s="87">
        <f t="shared" si="0"/>
        <v>8.611111111111111E-2</v>
      </c>
      <c r="U13" s="83" t="s">
        <v>83</v>
      </c>
      <c r="V13" s="61">
        <v>2.6388888888888889E-2</v>
      </c>
      <c r="W13" s="57">
        <v>0.56736111111111109</v>
      </c>
      <c r="X13" s="57">
        <v>0.70208333333333328</v>
      </c>
      <c r="Y13" s="61">
        <v>0.13472222222222222</v>
      </c>
      <c r="Z13" s="55" t="s">
        <v>70</v>
      </c>
    </row>
    <row r="14" spans="1:26">
      <c r="A14" s="71">
        <v>202500357</v>
      </c>
      <c r="B14" s="41">
        <v>1</v>
      </c>
      <c r="C14" s="72">
        <f>100/24</f>
        <v>4.166666666666667</v>
      </c>
      <c r="D14" s="72">
        <f t="shared" si="1"/>
        <v>1.3888888888888891</v>
      </c>
      <c r="E14" s="41"/>
      <c r="F14" s="210"/>
      <c r="G14" s="74">
        <v>8.3333333333333332E-3</v>
      </c>
      <c r="H14" s="74">
        <v>3.125E-2</v>
      </c>
      <c r="I14" s="25"/>
      <c r="J14" s="25"/>
      <c r="K14" s="25"/>
      <c r="L14" s="25"/>
      <c r="M14" s="25"/>
      <c r="N14" s="22"/>
      <c r="Q14" s="53">
        <v>45876</v>
      </c>
      <c r="R14" s="54" t="s">
        <v>84</v>
      </c>
      <c r="S14" s="80" t="s">
        <v>85</v>
      </c>
      <c r="T14" s="87">
        <f t="shared" si="0"/>
        <v>3.9583333333333331E-2</v>
      </c>
      <c r="U14" s="83" t="s">
        <v>86</v>
      </c>
      <c r="V14" s="61">
        <v>8.3333333333333332E-3</v>
      </c>
      <c r="W14" s="57">
        <v>0.70208333333333328</v>
      </c>
      <c r="X14" s="57">
        <v>0.74375000000000002</v>
      </c>
      <c r="Y14" s="61">
        <v>4.1666666666666664E-2</v>
      </c>
      <c r="Z14" s="55" t="s">
        <v>70</v>
      </c>
    </row>
    <row r="15" spans="1:26">
      <c r="A15" s="71">
        <v>202500358</v>
      </c>
      <c r="B15" s="41">
        <v>1</v>
      </c>
      <c r="C15" s="72">
        <f>100/24</f>
        <v>4.166666666666667</v>
      </c>
      <c r="D15" s="72">
        <f t="shared" si="1"/>
        <v>1.3888888888888891</v>
      </c>
      <c r="E15" s="41"/>
      <c r="F15" s="210"/>
      <c r="G15" s="74">
        <v>4.1666666666666664E-2</v>
      </c>
      <c r="H15" s="25"/>
      <c r="I15" s="25"/>
      <c r="J15" s="25"/>
      <c r="K15" s="25"/>
      <c r="L15" s="25"/>
      <c r="M15" s="25"/>
      <c r="N15" s="22"/>
      <c r="Q15" s="53">
        <v>45880</v>
      </c>
      <c r="R15" s="54" t="s">
        <v>87</v>
      </c>
      <c r="S15" s="80" t="s">
        <v>85</v>
      </c>
      <c r="T15" s="87">
        <f t="shared" si="0"/>
        <v>4.1666666666666664E-2</v>
      </c>
      <c r="U15" s="85" t="s">
        <v>86</v>
      </c>
      <c r="V15" s="61">
        <v>1.9444444444444445E-2</v>
      </c>
      <c r="W15" s="57">
        <v>0.41249999999999998</v>
      </c>
      <c r="X15" s="57">
        <v>0.51041666666666663</v>
      </c>
      <c r="Y15" s="61">
        <v>9.7916666666666666E-2</v>
      </c>
      <c r="Z15" s="55" t="s">
        <v>70</v>
      </c>
    </row>
    <row r="16" spans="1:26">
      <c r="A16" s="71">
        <v>202500379</v>
      </c>
      <c r="B16" s="41">
        <v>2</v>
      </c>
      <c r="C16" s="72">
        <f>50/24</f>
        <v>2.0833333333333335</v>
      </c>
      <c r="D16" s="72">
        <f t="shared" si="1"/>
        <v>0.69444444444444453</v>
      </c>
      <c r="E16" s="41"/>
      <c r="F16" s="210"/>
      <c r="G16" s="73">
        <v>9.0277777777777776E-2</v>
      </c>
      <c r="H16" s="73">
        <v>2.0833333333333332E-2</v>
      </c>
      <c r="I16" s="73"/>
      <c r="J16" s="73"/>
      <c r="K16" s="73"/>
      <c r="L16" s="73"/>
      <c r="M16" s="73"/>
      <c r="N16" s="22"/>
      <c r="Q16" s="53">
        <v>45882</v>
      </c>
      <c r="R16" s="54" t="s">
        <v>88</v>
      </c>
      <c r="S16" s="80" t="s">
        <v>82</v>
      </c>
      <c r="T16" s="87">
        <f t="shared" si="0"/>
        <v>0.1111111111111111</v>
      </c>
      <c r="U16" s="85" t="s">
        <v>83</v>
      </c>
      <c r="V16" s="61">
        <v>1.0416666666666666E-2</v>
      </c>
      <c r="W16" s="57">
        <v>0.41666666666666669</v>
      </c>
      <c r="X16" s="57">
        <v>0.47013888888888888</v>
      </c>
      <c r="Y16" s="61">
        <v>5.347222222222222E-2</v>
      </c>
      <c r="Z16" s="55" t="s">
        <v>70</v>
      </c>
    </row>
    <row r="17" spans="1:26">
      <c r="A17" s="71">
        <v>202500519</v>
      </c>
      <c r="B17" s="41">
        <v>5</v>
      </c>
      <c r="C17" s="72">
        <f>50/24</f>
        <v>2.0833333333333335</v>
      </c>
      <c r="D17" s="72">
        <f t="shared" si="1"/>
        <v>0.69444444444444453</v>
      </c>
      <c r="E17" s="41"/>
      <c r="F17" s="210"/>
      <c r="G17" s="25"/>
      <c r="H17" s="25"/>
      <c r="I17" s="25"/>
      <c r="J17" s="25"/>
      <c r="K17" s="25"/>
      <c r="L17" s="25"/>
      <c r="M17" s="25"/>
      <c r="N17" s="22"/>
      <c r="Q17" s="53">
        <v>45882</v>
      </c>
      <c r="R17" s="54" t="s">
        <v>89</v>
      </c>
      <c r="S17" s="80" t="s">
        <v>85</v>
      </c>
      <c r="T17" s="87">
        <f t="shared" si="0"/>
        <v>0</v>
      </c>
      <c r="U17" s="85" t="s">
        <v>86</v>
      </c>
      <c r="V17" s="61">
        <v>1.1111111111111112E-2</v>
      </c>
      <c r="W17" s="57">
        <v>0.31944444444444442</v>
      </c>
      <c r="X17" s="57">
        <v>0.375</v>
      </c>
      <c r="Y17" s="61">
        <v>5.5555555555555552E-2</v>
      </c>
      <c r="Z17" s="58" t="s">
        <v>70</v>
      </c>
    </row>
    <row r="18" spans="1:26">
      <c r="A18" s="71">
        <v>202500520</v>
      </c>
      <c r="B18" s="41">
        <v>2</v>
      </c>
      <c r="C18" s="72">
        <f>50/24</f>
        <v>2.0833333333333335</v>
      </c>
      <c r="D18" s="72">
        <f t="shared" si="1"/>
        <v>0.69444444444444453</v>
      </c>
      <c r="E18" s="41"/>
      <c r="F18" s="210"/>
      <c r="G18" s="25"/>
      <c r="H18" s="25"/>
      <c r="I18" s="25"/>
      <c r="J18" s="25"/>
      <c r="K18" s="25"/>
      <c r="L18" s="25"/>
      <c r="M18" s="25"/>
      <c r="N18" s="22"/>
      <c r="Q18" s="53">
        <v>45882</v>
      </c>
      <c r="R18" s="54" t="s">
        <v>90</v>
      </c>
      <c r="S18" s="80" t="s">
        <v>91</v>
      </c>
      <c r="T18" s="87">
        <f t="shared" si="0"/>
        <v>0</v>
      </c>
      <c r="U18" s="85" t="s">
        <v>92</v>
      </c>
      <c r="V18" s="61">
        <v>1.0416666666666666E-2</v>
      </c>
      <c r="W18" s="57">
        <v>0.375</v>
      </c>
      <c r="X18" s="57">
        <v>0.41666666666666669</v>
      </c>
      <c r="Y18" s="64">
        <v>4.1666666666666664E-2</v>
      </c>
      <c r="Z18" s="60" t="s">
        <v>70</v>
      </c>
    </row>
    <row r="19" spans="1:26">
      <c r="A19" s="71">
        <v>202500521</v>
      </c>
      <c r="B19" s="41">
        <v>6</v>
      </c>
      <c r="C19" s="72">
        <f>17/24</f>
        <v>0.70833333333333337</v>
      </c>
      <c r="D19" s="72">
        <f t="shared" si="1"/>
        <v>0.23611111111111113</v>
      </c>
      <c r="E19" s="41"/>
      <c r="F19" s="210"/>
      <c r="G19" s="25"/>
      <c r="H19" s="25"/>
      <c r="I19" s="25"/>
      <c r="J19" s="25"/>
      <c r="K19" s="25"/>
      <c r="L19" s="25"/>
      <c r="M19" s="25"/>
      <c r="N19" s="22"/>
      <c r="Q19" s="53">
        <v>45884</v>
      </c>
      <c r="R19" s="54" t="s">
        <v>93</v>
      </c>
      <c r="S19" s="80" t="s">
        <v>82</v>
      </c>
      <c r="T19" s="87">
        <f t="shared" si="0"/>
        <v>0</v>
      </c>
      <c r="U19" s="85" t="s">
        <v>83</v>
      </c>
      <c r="V19" s="61">
        <v>1.0416666666666666E-2</v>
      </c>
      <c r="W19" s="57">
        <v>0.46527777777777779</v>
      </c>
      <c r="X19" s="57">
        <v>0.5180555555555556</v>
      </c>
      <c r="Y19" s="64">
        <v>5.2777777777777778E-2</v>
      </c>
      <c r="Z19" s="60" t="s">
        <v>70</v>
      </c>
    </row>
    <row r="20" spans="1:26">
      <c r="A20" s="71">
        <v>202500631</v>
      </c>
      <c r="B20" s="41">
        <v>8</v>
      </c>
      <c r="C20" s="72">
        <f>12.5/24</f>
        <v>0.52083333333333337</v>
      </c>
      <c r="D20" s="72">
        <f t="shared" si="1"/>
        <v>0.17361111111111113</v>
      </c>
      <c r="E20" s="41"/>
      <c r="F20" s="210"/>
      <c r="G20" s="74">
        <v>1.6666666666666666E-2</v>
      </c>
      <c r="H20" s="74">
        <v>3.888888888888889E-2</v>
      </c>
      <c r="I20" s="74">
        <v>2.2222222222222223E-2</v>
      </c>
      <c r="J20" s="74">
        <v>2.0833333333333332E-2</v>
      </c>
      <c r="K20" s="74">
        <v>1.3888888888888888E-2</v>
      </c>
      <c r="L20" s="74">
        <v>7.6388888888888886E-3</v>
      </c>
      <c r="M20" s="25"/>
      <c r="N20" s="22"/>
      <c r="Q20" s="53">
        <v>45884</v>
      </c>
      <c r="R20" s="54" t="s">
        <v>94</v>
      </c>
      <c r="S20" s="80" t="s">
        <v>91</v>
      </c>
      <c r="T20" s="87">
        <f t="shared" si="0"/>
        <v>0.12013888888888888</v>
      </c>
      <c r="U20" s="85" t="s">
        <v>92</v>
      </c>
      <c r="V20" s="61">
        <f>Y20/4</f>
        <v>1.0416666666666666E-2</v>
      </c>
      <c r="W20" s="57">
        <v>0.4236111111111111</v>
      </c>
      <c r="X20" s="57">
        <v>0.46527777777777779</v>
      </c>
      <c r="Y20" s="64">
        <v>4.1666666666666664E-2</v>
      </c>
      <c r="Z20" s="60" t="s">
        <v>70</v>
      </c>
    </row>
    <row r="21" spans="1:26">
      <c r="A21" s="71">
        <v>202500867</v>
      </c>
      <c r="B21" s="41">
        <v>3</v>
      </c>
      <c r="C21" s="72">
        <f>33/24</f>
        <v>1.375</v>
      </c>
      <c r="D21" s="72">
        <f t="shared" si="1"/>
        <v>0.45833333333333331</v>
      </c>
      <c r="E21" s="41"/>
      <c r="F21" s="210"/>
      <c r="G21" s="74">
        <v>2.0833333333333332E-2</v>
      </c>
      <c r="H21" s="74">
        <v>1.3888888888888888E-2</v>
      </c>
      <c r="I21" s="25"/>
      <c r="J21" s="25"/>
      <c r="K21" s="25"/>
      <c r="L21" s="25"/>
      <c r="M21" s="25"/>
      <c r="N21" s="22"/>
      <c r="Q21" s="53">
        <v>45889</v>
      </c>
      <c r="R21" s="54" t="s">
        <v>95</v>
      </c>
      <c r="S21" s="80" t="s">
        <v>91</v>
      </c>
      <c r="T21" s="87">
        <f t="shared" si="0"/>
        <v>3.4722222222222224E-2</v>
      </c>
      <c r="U21" s="85" t="s">
        <v>92</v>
      </c>
      <c r="V21" s="61">
        <f>Y21/4</f>
        <v>1.3888888888888888E-2</v>
      </c>
      <c r="W21" s="57">
        <v>0.32569444444444445</v>
      </c>
      <c r="X21" s="57">
        <v>0.38124999999999998</v>
      </c>
      <c r="Y21" s="64">
        <v>5.5555555555555552E-2</v>
      </c>
      <c r="Z21" s="60" t="s">
        <v>70</v>
      </c>
    </row>
    <row r="22" spans="1:26">
      <c r="A22" s="71">
        <v>202500868</v>
      </c>
      <c r="B22" s="41">
        <v>2</v>
      </c>
      <c r="C22" s="72">
        <f>50/24</f>
        <v>2.0833333333333335</v>
      </c>
      <c r="D22" s="72">
        <f t="shared" si="1"/>
        <v>0.69444444444444453</v>
      </c>
      <c r="E22" s="41"/>
      <c r="F22" s="210"/>
      <c r="G22" s="74">
        <v>9.0277777777777769E-3</v>
      </c>
      <c r="H22" s="25"/>
      <c r="I22" s="25"/>
      <c r="J22" s="25"/>
      <c r="K22" s="25"/>
      <c r="L22" s="25"/>
      <c r="M22" s="25"/>
      <c r="N22" s="22"/>
      <c r="Q22" s="53">
        <v>45889</v>
      </c>
      <c r="R22" s="54" t="s">
        <v>96</v>
      </c>
      <c r="S22" s="80" t="s">
        <v>97</v>
      </c>
      <c r="T22" s="87">
        <f t="shared" si="0"/>
        <v>9.0277777777777769E-3</v>
      </c>
      <c r="U22" s="85">
        <v>202400991</v>
      </c>
      <c r="V22" s="61">
        <f>Y22/1</f>
        <v>7.3611111111111113E-2</v>
      </c>
      <c r="W22" s="57">
        <v>0.38124999999999998</v>
      </c>
      <c r="X22" s="57">
        <v>0.4548611111111111</v>
      </c>
      <c r="Y22" s="64">
        <v>7.3611111111111113E-2</v>
      </c>
      <c r="Z22" s="60" t="s">
        <v>70</v>
      </c>
    </row>
    <row r="23" spans="1:26">
      <c r="A23" s="71">
        <v>202400988</v>
      </c>
      <c r="B23" s="41">
        <v>2</v>
      </c>
      <c r="C23" s="72">
        <f>50/24</f>
        <v>2.0833333333333335</v>
      </c>
      <c r="D23" s="72">
        <f t="shared" si="1"/>
        <v>0.69444444444444453</v>
      </c>
      <c r="E23" s="41"/>
      <c r="F23" s="210"/>
      <c r="G23" s="74">
        <v>8.3333333333333332E-3</v>
      </c>
      <c r="H23" s="74">
        <v>3.125E-2</v>
      </c>
      <c r="I23" s="74">
        <v>2.0833333333333332E-2</v>
      </c>
      <c r="J23" s="74">
        <v>1.3888888888888888E-2</v>
      </c>
      <c r="K23" s="25"/>
      <c r="L23" s="25"/>
      <c r="M23" s="25"/>
      <c r="N23" s="22"/>
      <c r="Q23" s="53">
        <v>45889</v>
      </c>
      <c r="R23" s="54" t="s">
        <v>98</v>
      </c>
      <c r="S23" s="81" t="s">
        <v>99</v>
      </c>
      <c r="T23" s="87">
        <f t="shared" si="0"/>
        <v>7.4305555555555541E-2</v>
      </c>
      <c r="U23" s="86" t="s">
        <v>100</v>
      </c>
      <c r="V23" s="62">
        <f>Y23/2</f>
        <v>7.6388888888888886E-3</v>
      </c>
      <c r="W23" s="59">
        <v>0.4548611111111111</v>
      </c>
      <c r="X23" s="59">
        <v>0.47013888888888888</v>
      </c>
      <c r="Y23" s="65">
        <v>1.5277777777777777E-2</v>
      </c>
      <c r="Z23" s="60" t="s">
        <v>70</v>
      </c>
    </row>
    <row r="24" spans="1:26">
      <c r="J24" s="16"/>
      <c r="S24" s="60" t="s">
        <v>101</v>
      </c>
      <c r="T24" s="60"/>
      <c r="U24" s="76">
        <v>202500868</v>
      </c>
      <c r="V24" s="63">
        <v>9.0277777777777769E-3</v>
      </c>
      <c r="W24" s="21"/>
      <c r="X24" s="21"/>
      <c r="Y24" s="66">
        <v>9.0277777777777769E-3</v>
      </c>
      <c r="Z24" s="60" t="s">
        <v>70</v>
      </c>
    </row>
    <row r="25" spans="1:26">
      <c r="U25" s="16"/>
      <c r="V25" s="16"/>
      <c r="X25" s="16"/>
    </row>
    <row r="28" spans="1:26">
      <c r="X28" s="57"/>
    </row>
    <row r="29" spans="1:26">
      <c r="X29" s="16"/>
    </row>
    <row r="30" spans="1:26">
      <c r="X30" s="16"/>
    </row>
  </sheetData>
  <mergeCells count="2">
    <mergeCell ref="A1:N1"/>
    <mergeCell ref="F3:F2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75B9-3E30-4250-AFB5-1F57385D4D10}">
  <sheetPr codeName="Planilha5"/>
  <dimension ref="A1:B1115"/>
  <sheetViews>
    <sheetView tabSelected="1" topLeftCell="A1086" workbookViewId="0">
      <selection activeCell="A1093" sqref="A1093"/>
    </sheetView>
  </sheetViews>
  <sheetFormatPr defaultRowHeight="15"/>
  <cols>
    <col min="1" max="1" width="13" customWidth="1"/>
    <col min="2" max="2" width="17.5703125" bestFit="1" customWidth="1"/>
  </cols>
  <sheetData>
    <row r="1" spans="1:2">
      <c r="A1" s="4" t="s">
        <v>39</v>
      </c>
      <c r="B1" s="5" t="s">
        <v>102</v>
      </c>
    </row>
    <row r="2" spans="1:2">
      <c r="A2" s="6">
        <v>202401100</v>
      </c>
      <c r="B2" s="7" t="s">
        <v>103</v>
      </c>
    </row>
    <row r="3" spans="1:2">
      <c r="A3" s="6">
        <v>202401100</v>
      </c>
      <c r="B3" s="7" t="s">
        <v>103</v>
      </c>
    </row>
    <row r="4" spans="1:2">
      <c r="A4" s="6">
        <v>202400671</v>
      </c>
      <c r="B4" s="7" t="s">
        <v>104</v>
      </c>
    </row>
    <row r="5" spans="1:2">
      <c r="A5" s="6">
        <v>202400678</v>
      </c>
      <c r="B5" s="7" t="s">
        <v>104</v>
      </c>
    </row>
    <row r="6" spans="1:2">
      <c r="A6" s="6">
        <v>202401281</v>
      </c>
      <c r="B6" s="7" t="s">
        <v>105</v>
      </c>
    </row>
    <row r="7" spans="1:2">
      <c r="A7" s="6">
        <v>202401281</v>
      </c>
      <c r="B7" s="7" t="s">
        <v>105</v>
      </c>
    </row>
    <row r="8" spans="1:2">
      <c r="A8" s="6">
        <v>202400672</v>
      </c>
      <c r="B8" s="7" t="s">
        <v>106</v>
      </c>
    </row>
    <row r="9" spans="1:2">
      <c r="A9" s="6">
        <v>202400679</v>
      </c>
      <c r="B9" s="7" t="s">
        <v>107</v>
      </c>
    </row>
    <row r="10" spans="1:2">
      <c r="A10" s="6">
        <v>202401281</v>
      </c>
      <c r="B10" s="7" t="s">
        <v>105</v>
      </c>
    </row>
    <row r="11" spans="1:2">
      <c r="A11" s="6">
        <v>202400680</v>
      </c>
      <c r="B11" s="7" t="s">
        <v>108</v>
      </c>
    </row>
    <row r="12" spans="1:2">
      <c r="A12" s="6">
        <v>202400671</v>
      </c>
      <c r="B12" s="7" t="s">
        <v>104</v>
      </c>
    </row>
    <row r="13" spans="1:2">
      <c r="A13" s="6">
        <v>202400991</v>
      </c>
      <c r="B13" s="7" t="s">
        <v>109</v>
      </c>
    </row>
    <row r="14" spans="1:2">
      <c r="A14" s="6">
        <v>202400681</v>
      </c>
      <c r="B14" s="7" t="s">
        <v>110</v>
      </c>
    </row>
    <row r="15" spans="1:2">
      <c r="A15" s="6">
        <v>202400681</v>
      </c>
      <c r="B15" s="7" t="s">
        <v>110</v>
      </c>
    </row>
    <row r="16" spans="1:2">
      <c r="A16" s="6">
        <v>202400680</v>
      </c>
      <c r="B16" s="7" t="s">
        <v>108</v>
      </c>
    </row>
    <row r="17" spans="1:2">
      <c r="A17" s="6">
        <v>202400673</v>
      </c>
      <c r="B17" s="7" t="s">
        <v>111</v>
      </c>
    </row>
    <row r="18" spans="1:2">
      <c r="A18" s="6">
        <v>202400681</v>
      </c>
      <c r="B18" s="7" t="s">
        <v>110</v>
      </c>
    </row>
    <row r="19" spans="1:2">
      <c r="A19" s="6">
        <v>202400680</v>
      </c>
      <c r="B19" s="7" t="s">
        <v>108</v>
      </c>
    </row>
    <row r="20" spans="1:2">
      <c r="A20" s="6">
        <v>202400680</v>
      </c>
      <c r="B20" s="7" t="s">
        <v>108</v>
      </c>
    </row>
    <row r="21" spans="1:2">
      <c r="A21" s="6">
        <v>202400681</v>
      </c>
      <c r="B21" s="7" t="s">
        <v>110</v>
      </c>
    </row>
    <row r="22" spans="1:2">
      <c r="A22" s="6">
        <v>202401281</v>
      </c>
      <c r="B22" s="7" t="s">
        <v>105</v>
      </c>
    </row>
    <row r="23" spans="1:2">
      <c r="A23" s="6">
        <v>202400673</v>
      </c>
      <c r="B23" s="7" t="s">
        <v>111</v>
      </c>
    </row>
    <row r="24" spans="1:2">
      <c r="A24" s="6">
        <v>202400673</v>
      </c>
      <c r="B24" s="7" t="s">
        <v>111</v>
      </c>
    </row>
    <row r="25" spans="1:2">
      <c r="A25" s="6">
        <v>202400673</v>
      </c>
      <c r="B25" s="7" t="s">
        <v>111</v>
      </c>
    </row>
    <row r="26" spans="1:2">
      <c r="A26" s="8">
        <v>202400673</v>
      </c>
      <c r="B26" s="7" t="s">
        <v>111</v>
      </c>
    </row>
    <row r="27" spans="1:2">
      <c r="A27" s="6">
        <v>202400673</v>
      </c>
      <c r="B27" s="7" t="s">
        <v>111</v>
      </c>
    </row>
    <row r="28" spans="1:2">
      <c r="A28" s="6">
        <v>202400673</v>
      </c>
      <c r="B28" s="7" t="s">
        <v>111</v>
      </c>
    </row>
    <row r="29" spans="1:2">
      <c r="A29" s="6">
        <v>202400673</v>
      </c>
      <c r="B29" s="7" t="s">
        <v>111</v>
      </c>
    </row>
    <row r="30" spans="1:2">
      <c r="A30" s="6">
        <v>202400671</v>
      </c>
      <c r="B30" s="7" t="s">
        <v>104</v>
      </c>
    </row>
    <row r="31" spans="1:2">
      <c r="A31" s="6">
        <v>202400671</v>
      </c>
      <c r="B31" s="7" t="s">
        <v>104</v>
      </c>
    </row>
    <row r="32" spans="1:2">
      <c r="A32" s="6">
        <v>202400673</v>
      </c>
      <c r="B32" s="7" t="s">
        <v>111</v>
      </c>
    </row>
    <row r="33" spans="1:2">
      <c r="A33" s="6">
        <v>202400673</v>
      </c>
      <c r="B33" s="7" t="s">
        <v>111</v>
      </c>
    </row>
    <row r="34" spans="1:2">
      <c r="A34" s="6">
        <v>202400673</v>
      </c>
      <c r="B34" s="7" t="s">
        <v>111</v>
      </c>
    </row>
    <row r="35" spans="1:2">
      <c r="A35" s="6">
        <v>202400673</v>
      </c>
      <c r="B35" s="7" t="s">
        <v>111</v>
      </c>
    </row>
    <row r="36" spans="1:2">
      <c r="A36" s="6">
        <v>202400673</v>
      </c>
      <c r="B36" s="7" t="s">
        <v>111</v>
      </c>
    </row>
    <row r="37" spans="1:2">
      <c r="A37" s="6">
        <v>202400673</v>
      </c>
      <c r="B37" s="7" t="s">
        <v>111</v>
      </c>
    </row>
    <row r="38" spans="1:2">
      <c r="A38" s="6">
        <v>202400671</v>
      </c>
      <c r="B38" s="7" t="s">
        <v>104</v>
      </c>
    </row>
    <row r="39" spans="1:2">
      <c r="A39" s="6">
        <v>202400673</v>
      </c>
      <c r="B39" s="7" t="s">
        <v>111</v>
      </c>
    </row>
    <row r="40" spans="1:2">
      <c r="A40" s="6">
        <v>202400673</v>
      </c>
      <c r="B40" s="7" t="s">
        <v>111</v>
      </c>
    </row>
    <row r="41" spans="1:2">
      <c r="A41" s="6">
        <v>202400673</v>
      </c>
      <c r="B41" s="7" t="s">
        <v>111</v>
      </c>
    </row>
    <row r="42" spans="1:2">
      <c r="A42" s="8">
        <v>202400671</v>
      </c>
      <c r="B42" s="7" t="s">
        <v>104</v>
      </c>
    </row>
    <row r="43" spans="1:2">
      <c r="A43" s="6">
        <v>202400673</v>
      </c>
      <c r="B43" s="7" t="s">
        <v>111</v>
      </c>
    </row>
    <row r="44" spans="1:2">
      <c r="A44" s="6">
        <v>202400671</v>
      </c>
      <c r="B44" s="7" t="s">
        <v>104</v>
      </c>
    </row>
    <row r="45" spans="1:2">
      <c r="A45" s="6">
        <v>202400673</v>
      </c>
      <c r="B45" s="7" t="s">
        <v>111</v>
      </c>
    </row>
    <row r="46" spans="1:2">
      <c r="A46" s="6">
        <v>202400671</v>
      </c>
      <c r="B46" s="7" t="s">
        <v>104</v>
      </c>
    </row>
    <row r="47" spans="1:2">
      <c r="A47" s="6">
        <v>202400671</v>
      </c>
      <c r="B47" s="7" t="s">
        <v>104</v>
      </c>
    </row>
    <row r="48" spans="1:2">
      <c r="A48" s="8">
        <v>202400671</v>
      </c>
      <c r="B48" s="9" t="s">
        <v>104</v>
      </c>
    </row>
    <row r="49" spans="1:2">
      <c r="A49" s="6">
        <v>202400671</v>
      </c>
      <c r="B49" s="7" t="s">
        <v>104</v>
      </c>
    </row>
    <row r="50" spans="1:2">
      <c r="A50" s="6">
        <v>202400671</v>
      </c>
      <c r="B50" s="7" t="s">
        <v>104</v>
      </c>
    </row>
    <row r="51" spans="1:2">
      <c r="A51" s="6">
        <v>202400681</v>
      </c>
      <c r="B51" s="7" t="s">
        <v>110</v>
      </c>
    </row>
    <row r="52" spans="1:2">
      <c r="A52" s="6">
        <v>202400681</v>
      </c>
      <c r="B52" s="7" t="s">
        <v>110</v>
      </c>
    </row>
    <row r="53" spans="1:2">
      <c r="A53" s="6">
        <v>202400671</v>
      </c>
      <c r="B53" s="7" t="s">
        <v>104</v>
      </c>
    </row>
    <row r="54" spans="1:2">
      <c r="A54" s="6">
        <v>202400671</v>
      </c>
      <c r="B54" s="7" t="s">
        <v>104</v>
      </c>
    </row>
    <row r="55" spans="1:2">
      <c r="A55" s="6">
        <v>202400681</v>
      </c>
      <c r="B55" s="7" t="s">
        <v>110</v>
      </c>
    </row>
    <row r="56" spans="1:2">
      <c r="A56" s="6">
        <v>202400671</v>
      </c>
      <c r="B56" s="7" t="s">
        <v>104</v>
      </c>
    </row>
    <row r="57" spans="1:2">
      <c r="A57" s="6">
        <v>202400681</v>
      </c>
      <c r="B57" s="7" t="s">
        <v>110</v>
      </c>
    </row>
    <row r="58" spans="1:2">
      <c r="A58" s="6">
        <v>202400681</v>
      </c>
      <c r="B58" s="7" t="s">
        <v>110</v>
      </c>
    </row>
    <row r="59" spans="1:2">
      <c r="A59" s="6">
        <v>202400681</v>
      </c>
      <c r="B59" s="7" t="s">
        <v>110</v>
      </c>
    </row>
    <row r="60" spans="1:2">
      <c r="A60" s="6">
        <v>202400671</v>
      </c>
      <c r="B60" s="7" t="s">
        <v>104</v>
      </c>
    </row>
    <row r="61" spans="1:2">
      <c r="A61" s="6">
        <v>202400671</v>
      </c>
      <c r="B61" s="7" t="s">
        <v>104</v>
      </c>
    </row>
    <row r="62" spans="1:2">
      <c r="A62" s="6">
        <v>202400671</v>
      </c>
      <c r="B62" s="7" t="s">
        <v>104</v>
      </c>
    </row>
    <row r="63" spans="1:2">
      <c r="A63" s="6">
        <v>202400671</v>
      </c>
      <c r="B63" s="7" t="s">
        <v>104</v>
      </c>
    </row>
    <row r="64" spans="1:2">
      <c r="A64" s="6">
        <v>202400671</v>
      </c>
      <c r="B64" s="7" t="s">
        <v>104</v>
      </c>
    </row>
    <row r="65" spans="1:2">
      <c r="A65" s="6">
        <v>202400672</v>
      </c>
      <c r="B65" s="7" t="s">
        <v>106</v>
      </c>
    </row>
    <row r="66" spans="1:2">
      <c r="A66" s="6">
        <v>202400681</v>
      </c>
      <c r="B66" s="7" t="s">
        <v>110</v>
      </c>
    </row>
    <row r="67" spans="1:2">
      <c r="A67" s="6">
        <v>202400681</v>
      </c>
      <c r="B67" s="7" t="s">
        <v>110</v>
      </c>
    </row>
    <row r="68" spans="1:2">
      <c r="A68" s="6">
        <v>202400681</v>
      </c>
      <c r="B68" s="7" t="s">
        <v>110</v>
      </c>
    </row>
    <row r="69" spans="1:2">
      <c r="A69" s="6">
        <v>202400681</v>
      </c>
      <c r="B69" s="7" t="s">
        <v>110</v>
      </c>
    </row>
    <row r="70" spans="1:2">
      <c r="A70" s="6">
        <v>202400681</v>
      </c>
      <c r="B70" s="7" t="s">
        <v>110</v>
      </c>
    </row>
    <row r="71" spans="1:2">
      <c r="A71" s="6">
        <v>202400681</v>
      </c>
      <c r="B71" s="7" t="s">
        <v>110</v>
      </c>
    </row>
    <row r="72" spans="1:2">
      <c r="A72" s="6">
        <v>202400681</v>
      </c>
      <c r="B72" s="7" t="s">
        <v>110</v>
      </c>
    </row>
    <row r="73" spans="1:2">
      <c r="A73" s="6">
        <v>202400681</v>
      </c>
      <c r="B73" s="7" t="s">
        <v>110</v>
      </c>
    </row>
    <row r="74" spans="1:2">
      <c r="A74" s="6">
        <v>202400681</v>
      </c>
      <c r="B74" s="7" t="s">
        <v>110</v>
      </c>
    </row>
    <row r="75" spans="1:2">
      <c r="A75" s="6">
        <v>202400681</v>
      </c>
      <c r="B75" s="7" t="s">
        <v>110</v>
      </c>
    </row>
    <row r="76" spans="1:2">
      <c r="A76" s="6">
        <v>202400681</v>
      </c>
      <c r="B76" s="7" t="s">
        <v>110</v>
      </c>
    </row>
    <row r="77" spans="1:2">
      <c r="A77" s="6">
        <v>202400681</v>
      </c>
      <c r="B77" s="7" t="s">
        <v>110</v>
      </c>
    </row>
    <row r="78" spans="1:2">
      <c r="A78" s="6">
        <v>202400671</v>
      </c>
      <c r="B78" s="7" t="s">
        <v>104</v>
      </c>
    </row>
    <row r="79" spans="1:2">
      <c r="A79" s="6">
        <v>202400671</v>
      </c>
      <c r="B79" s="7" t="s">
        <v>104</v>
      </c>
    </row>
    <row r="80" spans="1:2">
      <c r="A80" s="8">
        <v>202400681</v>
      </c>
      <c r="B80" s="9" t="s">
        <v>110</v>
      </c>
    </row>
    <row r="81" spans="1:2">
      <c r="A81" s="6">
        <v>202400681</v>
      </c>
      <c r="B81" s="7" t="s">
        <v>110</v>
      </c>
    </row>
    <row r="82" spans="1:2">
      <c r="A82" s="8">
        <v>202400681</v>
      </c>
      <c r="B82" s="7" t="s">
        <v>110</v>
      </c>
    </row>
    <row r="83" spans="1:2">
      <c r="A83" s="6">
        <v>202400681</v>
      </c>
      <c r="B83" s="7" t="s">
        <v>110</v>
      </c>
    </row>
    <row r="84" spans="1:2">
      <c r="A84" s="6">
        <v>202400681</v>
      </c>
      <c r="B84" s="7" t="s">
        <v>110</v>
      </c>
    </row>
    <row r="85" spans="1:2">
      <c r="A85" s="6">
        <v>202400682</v>
      </c>
      <c r="B85" s="7" t="s">
        <v>112</v>
      </c>
    </row>
    <row r="86" spans="1:2">
      <c r="A86" s="6">
        <v>202400682</v>
      </c>
      <c r="B86" s="7" t="s">
        <v>112</v>
      </c>
    </row>
    <row r="87" spans="1:2">
      <c r="A87" s="6">
        <v>202400671</v>
      </c>
      <c r="B87" s="7" t="s">
        <v>104</v>
      </c>
    </row>
    <row r="88" spans="1:2">
      <c r="A88" s="6">
        <v>202400682</v>
      </c>
      <c r="B88" s="7" t="s">
        <v>112</v>
      </c>
    </row>
    <row r="89" spans="1:2">
      <c r="A89" s="6">
        <v>202400671</v>
      </c>
      <c r="B89" s="7" t="s">
        <v>104</v>
      </c>
    </row>
    <row r="90" spans="1:2">
      <c r="A90" s="6">
        <v>202400682</v>
      </c>
      <c r="B90" s="7" t="s">
        <v>112</v>
      </c>
    </row>
    <row r="91" spans="1:2">
      <c r="A91" s="6">
        <v>202400682</v>
      </c>
      <c r="B91" s="7" t="s">
        <v>112</v>
      </c>
    </row>
    <row r="92" spans="1:2">
      <c r="A92" s="6">
        <v>202400682</v>
      </c>
      <c r="B92" s="7" t="s">
        <v>112</v>
      </c>
    </row>
    <row r="93" spans="1:2">
      <c r="A93" s="6">
        <v>202400671</v>
      </c>
      <c r="B93" s="7" t="s">
        <v>104</v>
      </c>
    </row>
    <row r="94" spans="1:2">
      <c r="A94" s="6">
        <v>202400682</v>
      </c>
      <c r="B94" s="7" t="s">
        <v>112</v>
      </c>
    </row>
    <row r="95" spans="1:2">
      <c r="A95" s="10">
        <v>202400682</v>
      </c>
      <c r="B95" s="7" t="s">
        <v>112</v>
      </c>
    </row>
    <row r="96" spans="1:2">
      <c r="A96" s="6">
        <v>202400671</v>
      </c>
      <c r="B96" s="7" t="s">
        <v>104</v>
      </c>
    </row>
    <row r="97" spans="1:2">
      <c r="A97" s="6">
        <v>202400671</v>
      </c>
      <c r="B97" s="7" t="s">
        <v>104</v>
      </c>
    </row>
    <row r="98" spans="1:2">
      <c r="A98" s="6">
        <v>202400671</v>
      </c>
      <c r="B98" s="7" t="s">
        <v>104</v>
      </c>
    </row>
    <row r="99" spans="1:2">
      <c r="A99" s="6">
        <v>202400681</v>
      </c>
      <c r="B99" s="7" t="s">
        <v>110</v>
      </c>
    </row>
    <row r="100" spans="1:2">
      <c r="A100" s="8">
        <v>202400681</v>
      </c>
      <c r="B100" s="7" t="s">
        <v>110</v>
      </c>
    </row>
    <row r="101" spans="1:2">
      <c r="A101" s="6">
        <v>202400681</v>
      </c>
      <c r="B101" s="7" t="s">
        <v>110</v>
      </c>
    </row>
    <row r="102" spans="1:2">
      <c r="A102" s="6">
        <v>202400681</v>
      </c>
      <c r="B102" s="7" t="s">
        <v>110</v>
      </c>
    </row>
    <row r="103" spans="1:2">
      <c r="A103" s="10">
        <v>202400682</v>
      </c>
      <c r="B103" s="7" t="s">
        <v>112</v>
      </c>
    </row>
    <row r="104" spans="1:2">
      <c r="A104" s="10">
        <v>202400682</v>
      </c>
      <c r="B104" s="7" t="s">
        <v>112</v>
      </c>
    </row>
    <row r="105" spans="1:2">
      <c r="A105" s="10">
        <v>202400682</v>
      </c>
      <c r="B105" s="7" t="s">
        <v>112</v>
      </c>
    </row>
    <row r="106" spans="1:2">
      <c r="A106" s="10">
        <v>202400682</v>
      </c>
      <c r="B106" s="7" t="s">
        <v>112</v>
      </c>
    </row>
    <row r="107" spans="1:2">
      <c r="A107" s="10">
        <v>202400682</v>
      </c>
      <c r="B107" s="7" t="s">
        <v>112</v>
      </c>
    </row>
    <row r="108" spans="1:2">
      <c r="A108" s="8">
        <v>202400682</v>
      </c>
      <c r="B108" s="9" t="s">
        <v>112</v>
      </c>
    </row>
    <row r="109" spans="1:2">
      <c r="A109" s="6">
        <v>202400682</v>
      </c>
      <c r="B109" s="7" t="s">
        <v>112</v>
      </c>
    </row>
    <row r="110" spans="1:2">
      <c r="A110" s="6">
        <v>202400682</v>
      </c>
      <c r="B110" s="7" t="s">
        <v>112</v>
      </c>
    </row>
    <row r="111" spans="1:2">
      <c r="A111" s="6">
        <v>202400679</v>
      </c>
      <c r="B111" s="7" t="s">
        <v>107</v>
      </c>
    </row>
    <row r="112" spans="1:2">
      <c r="A112" s="6">
        <v>202400682</v>
      </c>
      <c r="B112" s="7" t="s">
        <v>112</v>
      </c>
    </row>
    <row r="113" spans="1:2">
      <c r="A113" s="6">
        <v>202400682</v>
      </c>
      <c r="B113" s="7" t="s">
        <v>112</v>
      </c>
    </row>
    <row r="114" spans="1:2">
      <c r="A114" s="6">
        <v>202400682</v>
      </c>
      <c r="B114" s="7" t="s">
        <v>112</v>
      </c>
    </row>
    <row r="115" spans="1:2">
      <c r="A115" s="6">
        <v>202400682</v>
      </c>
      <c r="B115" s="7" t="s">
        <v>112</v>
      </c>
    </row>
    <row r="116" spans="1:2">
      <c r="A116" s="6">
        <v>202400682</v>
      </c>
      <c r="B116" s="7" t="s">
        <v>112</v>
      </c>
    </row>
    <row r="117" spans="1:2">
      <c r="A117" s="6">
        <v>202400680</v>
      </c>
      <c r="B117" s="7" t="s">
        <v>108</v>
      </c>
    </row>
    <row r="118" spans="1:2">
      <c r="A118" s="6">
        <v>202400682</v>
      </c>
      <c r="B118" s="7" t="s">
        <v>112</v>
      </c>
    </row>
    <row r="119" spans="1:2">
      <c r="A119" s="6">
        <v>202400682</v>
      </c>
      <c r="B119" s="7" t="s">
        <v>112</v>
      </c>
    </row>
    <row r="120" spans="1:2">
      <c r="A120" s="6">
        <v>202400672</v>
      </c>
      <c r="B120" s="7" t="s">
        <v>106</v>
      </c>
    </row>
    <row r="121" spans="1:2">
      <c r="A121" s="6">
        <v>202400672</v>
      </c>
      <c r="B121" s="7" t="s">
        <v>106</v>
      </c>
    </row>
    <row r="122" spans="1:2">
      <c r="A122" s="6">
        <v>202400672</v>
      </c>
      <c r="B122" s="7" t="s">
        <v>106</v>
      </c>
    </row>
    <row r="123" spans="1:2">
      <c r="A123" s="6">
        <v>202400672</v>
      </c>
      <c r="B123" s="7" t="s">
        <v>106</v>
      </c>
    </row>
    <row r="124" spans="1:2">
      <c r="A124" s="6">
        <v>202400672</v>
      </c>
      <c r="B124" s="7" t="s">
        <v>106</v>
      </c>
    </row>
    <row r="125" spans="1:2">
      <c r="A125" s="6">
        <v>202400672</v>
      </c>
      <c r="B125" s="7" t="s">
        <v>106</v>
      </c>
    </row>
    <row r="126" spans="1:2">
      <c r="A126" s="6">
        <v>202400672</v>
      </c>
      <c r="B126" s="7" t="s">
        <v>106</v>
      </c>
    </row>
    <row r="127" spans="1:2">
      <c r="A127" s="6">
        <v>202400672</v>
      </c>
      <c r="B127" s="7" t="s">
        <v>106</v>
      </c>
    </row>
    <row r="128" spans="1:2">
      <c r="A128" s="6">
        <v>202400672</v>
      </c>
      <c r="B128" s="7" t="s">
        <v>106</v>
      </c>
    </row>
    <row r="129" spans="1:2">
      <c r="A129" s="6">
        <v>202400672</v>
      </c>
      <c r="B129" s="7" t="s">
        <v>106</v>
      </c>
    </row>
    <row r="130" spans="1:2">
      <c r="A130" s="6">
        <v>202400672</v>
      </c>
      <c r="B130" s="7" t="s">
        <v>106</v>
      </c>
    </row>
    <row r="131" spans="1:2">
      <c r="A131" s="6">
        <v>202400672</v>
      </c>
      <c r="B131" s="7" t="s">
        <v>106</v>
      </c>
    </row>
    <row r="132" spans="1:2">
      <c r="A132" s="6">
        <v>202400672</v>
      </c>
      <c r="B132" s="7" t="s">
        <v>106</v>
      </c>
    </row>
    <row r="133" spans="1:2">
      <c r="A133" s="6">
        <v>202400672</v>
      </c>
      <c r="B133" s="7" t="s">
        <v>106</v>
      </c>
    </row>
    <row r="134" spans="1:2">
      <c r="A134" s="6">
        <v>202400672</v>
      </c>
      <c r="B134" s="7" t="s">
        <v>106</v>
      </c>
    </row>
    <row r="135" spans="1:2">
      <c r="A135" s="6">
        <v>202400672</v>
      </c>
      <c r="B135" s="7" t="s">
        <v>106</v>
      </c>
    </row>
    <row r="136" spans="1:2">
      <c r="A136" s="6">
        <v>202400672</v>
      </c>
      <c r="B136" s="7" t="s">
        <v>106</v>
      </c>
    </row>
    <row r="137" spans="1:2">
      <c r="A137" s="6">
        <v>202400672</v>
      </c>
      <c r="B137" s="7" t="s">
        <v>106</v>
      </c>
    </row>
    <row r="138" spans="1:2">
      <c r="A138" s="6">
        <v>202400672</v>
      </c>
      <c r="B138" s="7" t="s">
        <v>106</v>
      </c>
    </row>
    <row r="139" spans="1:2">
      <c r="A139" s="6">
        <v>202400678</v>
      </c>
      <c r="B139" s="7" t="s">
        <v>104</v>
      </c>
    </row>
    <row r="140" spans="1:2">
      <c r="A140" s="6">
        <v>202400672</v>
      </c>
      <c r="B140" s="7" t="s">
        <v>106</v>
      </c>
    </row>
    <row r="141" spans="1:2">
      <c r="A141" s="6">
        <v>202400672</v>
      </c>
      <c r="B141" s="7" t="s">
        <v>106</v>
      </c>
    </row>
    <row r="142" spans="1:2">
      <c r="A142" s="6">
        <v>202400678</v>
      </c>
      <c r="B142" s="7" t="s">
        <v>104</v>
      </c>
    </row>
    <row r="143" spans="1:2">
      <c r="A143" s="6">
        <v>202400678</v>
      </c>
      <c r="B143" s="7" t="s">
        <v>104</v>
      </c>
    </row>
    <row r="144" spans="1:2">
      <c r="A144" s="6">
        <v>202400678</v>
      </c>
      <c r="B144" s="7" t="s">
        <v>104</v>
      </c>
    </row>
    <row r="145" spans="1:2">
      <c r="A145" s="6">
        <v>202400679</v>
      </c>
      <c r="B145" s="7" t="s">
        <v>107</v>
      </c>
    </row>
    <row r="146" spans="1:2">
      <c r="A146" s="6">
        <v>202400678</v>
      </c>
      <c r="B146" s="7" t="s">
        <v>104</v>
      </c>
    </row>
    <row r="147" spans="1:2">
      <c r="A147" s="6">
        <v>202400678</v>
      </c>
      <c r="B147" s="7" t="s">
        <v>104</v>
      </c>
    </row>
    <row r="148" spans="1:2">
      <c r="A148" s="6">
        <v>202400678</v>
      </c>
      <c r="B148" s="7" t="s">
        <v>104</v>
      </c>
    </row>
    <row r="149" spans="1:2">
      <c r="A149" s="6">
        <v>202400678</v>
      </c>
      <c r="B149" s="7" t="s">
        <v>104</v>
      </c>
    </row>
    <row r="150" spans="1:2">
      <c r="A150" s="6">
        <v>202400678</v>
      </c>
      <c r="B150" s="7" t="s">
        <v>104</v>
      </c>
    </row>
    <row r="151" spans="1:2">
      <c r="A151" s="6">
        <v>202400678</v>
      </c>
      <c r="B151" s="7" t="s">
        <v>104</v>
      </c>
    </row>
    <row r="152" spans="1:2">
      <c r="A152" s="6">
        <v>202400678</v>
      </c>
      <c r="B152" s="7" t="s">
        <v>104</v>
      </c>
    </row>
    <row r="153" spans="1:2">
      <c r="A153" s="10">
        <v>202400682</v>
      </c>
      <c r="B153" s="7" t="s">
        <v>112</v>
      </c>
    </row>
    <row r="154" spans="1:2">
      <c r="A154" s="10">
        <v>202400682</v>
      </c>
      <c r="B154" s="7" t="s">
        <v>112</v>
      </c>
    </row>
    <row r="155" spans="1:2">
      <c r="A155" s="6">
        <v>202400671</v>
      </c>
      <c r="B155" s="7" t="s">
        <v>104</v>
      </c>
    </row>
    <row r="156" spans="1:2">
      <c r="A156" s="10">
        <v>202400682</v>
      </c>
      <c r="B156" s="7" t="s">
        <v>112</v>
      </c>
    </row>
    <row r="157" spans="1:2">
      <c r="A157" s="6">
        <v>202400671</v>
      </c>
      <c r="B157" s="7" t="s">
        <v>104</v>
      </c>
    </row>
    <row r="158" spans="1:2">
      <c r="A158" s="6">
        <v>202400671</v>
      </c>
      <c r="B158" s="7" t="s">
        <v>104</v>
      </c>
    </row>
    <row r="159" spans="1:2">
      <c r="A159" s="6">
        <v>202400671</v>
      </c>
      <c r="B159" s="7" t="s">
        <v>104</v>
      </c>
    </row>
    <row r="160" spans="1:2">
      <c r="A160" s="6">
        <v>202400671</v>
      </c>
      <c r="B160" s="7" t="s">
        <v>104</v>
      </c>
    </row>
    <row r="161" spans="1:2">
      <c r="A161" s="6">
        <v>202400671</v>
      </c>
      <c r="B161" s="7" t="s">
        <v>104</v>
      </c>
    </row>
    <row r="162" spans="1:2">
      <c r="A162" s="6">
        <v>202400679</v>
      </c>
      <c r="B162" s="7" t="s">
        <v>107</v>
      </c>
    </row>
    <row r="163" spans="1:2">
      <c r="A163" s="6">
        <v>202400679</v>
      </c>
      <c r="B163" s="7" t="s">
        <v>107</v>
      </c>
    </row>
    <row r="164" spans="1:2">
      <c r="A164" s="10">
        <v>202400679</v>
      </c>
      <c r="B164" s="7" t="s">
        <v>107</v>
      </c>
    </row>
    <row r="165" spans="1:2">
      <c r="A165" s="6">
        <v>202400679</v>
      </c>
      <c r="B165" s="7" t="s">
        <v>107</v>
      </c>
    </row>
    <row r="166" spans="1:2">
      <c r="A166" s="6">
        <v>202400678</v>
      </c>
      <c r="B166" s="7" t="s">
        <v>104</v>
      </c>
    </row>
    <row r="167" spans="1:2">
      <c r="A167" s="6">
        <v>202400679</v>
      </c>
      <c r="B167" s="7" t="s">
        <v>107</v>
      </c>
    </row>
    <row r="168" spans="1:2">
      <c r="A168" s="6">
        <v>202400678</v>
      </c>
      <c r="B168" s="7" t="s">
        <v>104</v>
      </c>
    </row>
    <row r="169" spans="1:2">
      <c r="A169" s="6">
        <v>202400679</v>
      </c>
      <c r="B169" s="7" t="s">
        <v>107</v>
      </c>
    </row>
    <row r="170" spans="1:2">
      <c r="A170" s="6">
        <v>202400679</v>
      </c>
      <c r="B170" s="7" t="s">
        <v>107</v>
      </c>
    </row>
    <row r="171" spans="1:2">
      <c r="A171" s="6">
        <v>202400678</v>
      </c>
      <c r="B171" s="7" t="s">
        <v>104</v>
      </c>
    </row>
    <row r="172" spans="1:2">
      <c r="A172" s="6">
        <v>202400678</v>
      </c>
      <c r="B172" s="7" t="s">
        <v>104</v>
      </c>
    </row>
    <row r="173" spans="1:2">
      <c r="A173" s="6">
        <v>202400678</v>
      </c>
      <c r="B173" s="7" t="s">
        <v>104</v>
      </c>
    </row>
    <row r="174" spans="1:2">
      <c r="A174" s="6">
        <v>202400678</v>
      </c>
      <c r="B174" s="7" t="s">
        <v>104</v>
      </c>
    </row>
    <row r="175" spans="1:2">
      <c r="A175" s="6">
        <v>202400678</v>
      </c>
      <c r="B175" s="7" t="s">
        <v>104</v>
      </c>
    </row>
    <row r="176" spans="1:2">
      <c r="A176" s="6">
        <v>202400678</v>
      </c>
      <c r="B176" s="7" t="s">
        <v>104</v>
      </c>
    </row>
    <row r="177" spans="1:2">
      <c r="A177" s="10">
        <v>202400678</v>
      </c>
      <c r="B177" s="7" t="s">
        <v>104</v>
      </c>
    </row>
    <row r="178" spans="1:2">
      <c r="A178" s="6">
        <v>202400678</v>
      </c>
      <c r="B178" s="7" t="s">
        <v>104</v>
      </c>
    </row>
    <row r="179" spans="1:2">
      <c r="A179" s="6">
        <v>202400678</v>
      </c>
      <c r="B179" s="7" t="s">
        <v>104</v>
      </c>
    </row>
    <row r="180" spans="1:2">
      <c r="A180" s="6">
        <v>202400678</v>
      </c>
      <c r="B180" s="7" t="s">
        <v>104</v>
      </c>
    </row>
    <row r="181" spans="1:2">
      <c r="A181" s="6">
        <v>202400679</v>
      </c>
      <c r="B181" s="7" t="s">
        <v>107</v>
      </c>
    </row>
    <row r="182" spans="1:2">
      <c r="A182" s="6">
        <v>202400679</v>
      </c>
      <c r="B182" s="7" t="s">
        <v>107</v>
      </c>
    </row>
    <row r="183" spans="1:2">
      <c r="A183" s="6">
        <v>202400679</v>
      </c>
      <c r="B183" s="7" t="s">
        <v>107</v>
      </c>
    </row>
    <row r="184" spans="1:2">
      <c r="A184" s="6">
        <v>202400678</v>
      </c>
      <c r="B184" s="7" t="s">
        <v>104</v>
      </c>
    </row>
    <row r="185" spans="1:2">
      <c r="A185" s="6">
        <v>202400679</v>
      </c>
      <c r="B185" s="7" t="s">
        <v>107</v>
      </c>
    </row>
    <row r="186" spans="1:2">
      <c r="A186" s="8">
        <v>202400679</v>
      </c>
      <c r="B186" s="9" t="s">
        <v>107</v>
      </c>
    </row>
    <row r="187" spans="1:2">
      <c r="A187" s="6">
        <v>202400679</v>
      </c>
      <c r="B187" s="7" t="s">
        <v>107</v>
      </c>
    </row>
    <row r="188" spans="1:2">
      <c r="A188" s="6">
        <v>202400679</v>
      </c>
      <c r="B188" s="7" t="s">
        <v>107</v>
      </c>
    </row>
    <row r="189" spans="1:2">
      <c r="A189" s="6">
        <v>202400679</v>
      </c>
      <c r="B189" s="7" t="s">
        <v>107</v>
      </c>
    </row>
    <row r="190" spans="1:2">
      <c r="A190" s="6">
        <v>202400678</v>
      </c>
      <c r="B190" s="7" t="s">
        <v>104</v>
      </c>
    </row>
    <row r="191" spans="1:2">
      <c r="A191" s="6">
        <v>202400678</v>
      </c>
      <c r="B191" s="7" t="s">
        <v>104</v>
      </c>
    </row>
    <row r="192" spans="1:2">
      <c r="A192" s="6">
        <v>202400680</v>
      </c>
      <c r="B192" s="7" t="s">
        <v>108</v>
      </c>
    </row>
    <row r="193" spans="1:2">
      <c r="A193" s="6">
        <v>202400680</v>
      </c>
      <c r="B193" s="7" t="s">
        <v>108</v>
      </c>
    </row>
    <row r="194" spans="1:2">
      <c r="A194" s="6">
        <v>202400679</v>
      </c>
      <c r="B194" s="7" t="s">
        <v>107</v>
      </c>
    </row>
    <row r="195" spans="1:2">
      <c r="A195" s="6">
        <v>202400680</v>
      </c>
      <c r="B195" s="7" t="s">
        <v>108</v>
      </c>
    </row>
    <row r="196" spans="1:2">
      <c r="A196" s="6">
        <v>202400680</v>
      </c>
      <c r="B196" s="7" t="s">
        <v>108</v>
      </c>
    </row>
    <row r="197" spans="1:2">
      <c r="A197" s="6">
        <v>202400680</v>
      </c>
      <c r="B197" s="7" t="s">
        <v>108</v>
      </c>
    </row>
    <row r="198" spans="1:2">
      <c r="A198" s="6">
        <v>202400680</v>
      </c>
      <c r="B198" s="7" t="s">
        <v>108</v>
      </c>
    </row>
    <row r="199" spans="1:2">
      <c r="A199" s="6">
        <v>202400680</v>
      </c>
      <c r="B199" s="7" t="s">
        <v>108</v>
      </c>
    </row>
    <row r="200" spans="1:2">
      <c r="A200" s="6">
        <v>202400680</v>
      </c>
      <c r="B200" s="7" t="s">
        <v>108</v>
      </c>
    </row>
    <row r="201" spans="1:2">
      <c r="A201" s="6">
        <v>202400680</v>
      </c>
      <c r="B201" s="7" t="s">
        <v>108</v>
      </c>
    </row>
    <row r="202" spans="1:2">
      <c r="A202" s="6">
        <v>202400680</v>
      </c>
      <c r="B202" s="7" t="s">
        <v>108</v>
      </c>
    </row>
    <row r="203" spans="1:2">
      <c r="A203" s="6">
        <v>202400680</v>
      </c>
      <c r="B203" s="7" t="s">
        <v>108</v>
      </c>
    </row>
    <row r="204" spans="1:2">
      <c r="A204" s="6">
        <v>202400680</v>
      </c>
      <c r="B204" s="7" t="s">
        <v>108</v>
      </c>
    </row>
    <row r="205" spans="1:2">
      <c r="A205" s="6">
        <v>202400680</v>
      </c>
      <c r="B205" s="7" t="s">
        <v>108</v>
      </c>
    </row>
    <row r="206" spans="1:2">
      <c r="A206" s="8">
        <v>202400680</v>
      </c>
      <c r="B206" s="9" t="s">
        <v>108</v>
      </c>
    </row>
    <row r="207" spans="1:2">
      <c r="A207" s="6">
        <v>202400680</v>
      </c>
      <c r="B207" s="7" t="s">
        <v>108</v>
      </c>
    </row>
    <row r="208" spans="1:2">
      <c r="A208" s="6">
        <v>202400680</v>
      </c>
      <c r="B208" s="7" t="s">
        <v>108</v>
      </c>
    </row>
    <row r="209" spans="1:2">
      <c r="A209" s="6">
        <v>202400680</v>
      </c>
      <c r="B209" s="7" t="s">
        <v>108</v>
      </c>
    </row>
    <row r="210" spans="1:2">
      <c r="A210" s="6">
        <v>202400680</v>
      </c>
      <c r="B210" s="7" t="s">
        <v>108</v>
      </c>
    </row>
    <row r="211" spans="1:2">
      <c r="A211" s="11">
        <v>202400680</v>
      </c>
      <c r="B211" s="7" t="s">
        <v>108</v>
      </c>
    </row>
    <row r="212" spans="1:2">
      <c r="A212" s="8">
        <v>202400680</v>
      </c>
      <c r="B212" s="9" t="s">
        <v>108</v>
      </c>
    </row>
    <row r="213" spans="1:2">
      <c r="A213" s="6">
        <v>202400680</v>
      </c>
      <c r="B213" s="7" t="s">
        <v>108</v>
      </c>
    </row>
    <row r="214" spans="1:2">
      <c r="A214" s="6">
        <v>202400679</v>
      </c>
      <c r="B214" s="7" t="s">
        <v>107</v>
      </c>
    </row>
    <row r="215" spans="1:2">
      <c r="A215" s="6">
        <v>202400679</v>
      </c>
      <c r="B215" s="7" t="s">
        <v>107</v>
      </c>
    </row>
    <row r="216" spans="1:2">
      <c r="A216" s="8">
        <v>202400679</v>
      </c>
      <c r="B216" s="9" t="s">
        <v>107</v>
      </c>
    </row>
    <row r="217" spans="1:2">
      <c r="A217" s="6">
        <v>202400989</v>
      </c>
      <c r="B217" s="7" t="s">
        <v>113</v>
      </c>
    </row>
    <row r="218" spans="1:2">
      <c r="A218" s="6">
        <v>202400989</v>
      </c>
      <c r="B218" s="7" t="s">
        <v>113</v>
      </c>
    </row>
    <row r="219" spans="1:2">
      <c r="A219" s="6">
        <v>202400988</v>
      </c>
      <c r="B219" s="7" t="s">
        <v>114</v>
      </c>
    </row>
    <row r="220" spans="1:2">
      <c r="A220" s="8">
        <v>202400988</v>
      </c>
      <c r="B220" s="9" t="s">
        <v>114</v>
      </c>
    </row>
    <row r="221" spans="1:2">
      <c r="A221" s="6">
        <v>202400988</v>
      </c>
      <c r="B221" s="7" t="s">
        <v>114</v>
      </c>
    </row>
    <row r="222" spans="1:2">
      <c r="A222" s="8">
        <v>202400988</v>
      </c>
      <c r="B222" s="9" t="s">
        <v>114</v>
      </c>
    </row>
    <row r="223" spans="1:2">
      <c r="A223" s="6">
        <v>202400988</v>
      </c>
      <c r="B223" s="7" t="s">
        <v>114</v>
      </c>
    </row>
    <row r="224" spans="1:2">
      <c r="A224" s="6">
        <v>202400988</v>
      </c>
      <c r="B224" s="7" t="s">
        <v>114</v>
      </c>
    </row>
    <row r="225" spans="1:2">
      <c r="A225" s="6">
        <v>202400988</v>
      </c>
      <c r="B225" s="7" t="s">
        <v>114</v>
      </c>
    </row>
    <row r="226" spans="1:2">
      <c r="A226" s="6">
        <v>202400988</v>
      </c>
      <c r="B226" s="7" t="s">
        <v>114</v>
      </c>
    </row>
    <row r="227" spans="1:2">
      <c r="A227" s="6">
        <v>202400988</v>
      </c>
      <c r="B227" s="7" t="s">
        <v>114</v>
      </c>
    </row>
    <row r="228" spans="1:2">
      <c r="A228" s="6">
        <v>202400988</v>
      </c>
      <c r="B228" s="7" t="s">
        <v>114</v>
      </c>
    </row>
    <row r="229" spans="1:2">
      <c r="A229" s="6">
        <v>202400988</v>
      </c>
      <c r="B229" s="7" t="s">
        <v>114</v>
      </c>
    </row>
    <row r="230" spans="1:2">
      <c r="A230" s="6">
        <v>202400988</v>
      </c>
      <c r="B230" s="7" t="s">
        <v>114</v>
      </c>
    </row>
    <row r="231" spans="1:2">
      <c r="A231" s="6">
        <v>202400988</v>
      </c>
      <c r="B231" s="7" t="s">
        <v>114</v>
      </c>
    </row>
    <row r="232" spans="1:2">
      <c r="A232" s="6">
        <v>202400988</v>
      </c>
      <c r="B232" s="7" t="s">
        <v>114</v>
      </c>
    </row>
    <row r="233" spans="1:2">
      <c r="A233" s="6">
        <v>202400988</v>
      </c>
      <c r="B233" s="7" t="s">
        <v>114</v>
      </c>
    </row>
    <row r="234" spans="1:2">
      <c r="A234" s="6">
        <v>202400988</v>
      </c>
      <c r="B234" s="7" t="s">
        <v>114</v>
      </c>
    </row>
    <row r="235" spans="1:2">
      <c r="A235" s="6">
        <v>202400988</v>
      </c>
      <c r="B235" s="7" t="s">
        <v>114</v>
      </c>
    </row>
    <row r="236" spans="1:2">
      <c r="A236" s="6">
        <v>202400988</v>
      </c>
      <c r="B236" s="7" t="s">
        <v>114</v>
      </c>
    </row>
    <row r="237" spans="1:2">
      <c r="A237" s="6">
        <v>202400988</v>
      </c>
      <c r="B237" s="7" t="s">
        <v>114</v>
      </c>
    </row>
    <row r="238" spans="1:2">
      <c r="A238" s="6">
        <v>202400988</v>
      </c>
      <c r="B238" s="7" t="s">
        <v>114</v>
      </c>
    </row>
    <row r="239" spans="1:2">
      <c r="A239" s="6">
        <v>202400988</v>
      </c>
      <c r="B239" s="7" t="s">
        <v>114</v>
      </c>
    </row>
    <row r="240" spans="1:2">
      <c r="A240" s="6">
        <v>202400988</v>
      </c>
      <c r="B240" s="7" t="s">
        <v>114</v>
      </c>
    </row>
    <row r="241" spans="1:2">
      <c r="A241" s="6">
        <v>202400988</v>
      </c>
      <c r="B241" s="7" t="s">
        <v>114</v>
      </c>
    </row>
    <row r="242" spans="1:2">
      <c r="A242" s="6">
        <v>202400988</v>
      </c>
      <c r="B242" s="7" t="s">
        <v>114</v>
      </c>
    </row>
    <row r="243" spans="1:2">
      <c r="A243" s="6">
        <v>202400988</v>
      </c>
      <c r="B243" s="7" t="s">
        <v>114</v>
      </c>
    </row>
    <row r="244" spans="1:2">
      <c r="A244" s="6">
        <v>202400988</v>
      </c>
      <c r="B244" s="7" t="s">
        <v>114</v>
      </c>
    </row>
    <row r="245" spans="1:2">
      <c r="A245" s="6">
        <v>202400988</v>
      </c>
      <c r="B245" s="7" t="s">
        <v>114</v>
      </c>
    </row>
    <row r="246" spans="1:2">
      <c r="A246" s="6">
        <v>202400988</v>
      </c>
      <c r="B246" s="7" t="s">
        <v>114</v>
      </c>
    </row>
    <row r="247" spans="1:2">
      <c r="A247" s="6">
        <v>202400988</v>
      </c>
      <c r="B247" s="7" t="s">
        <v>114</v>
      </c>
    </row>
    <row r="248" spans="1:2">
      <c r="A248" s="6">
        <v>202400989</v>
      </c>
      <c r="B248" s="7" t="s">
        <v>113</v>
      </c>
    </row>
    <row r="249" spans="1:2">
      <c r="A249" s="6">
        <v>202400989</v>
      </c>
      <c r="B249" s="7" t="s">
        <v>113</v>
      </c>
    </row>
    <row r="250" spans="1:2">
      <c r="A250" s="6">
        <v>202400988</v>
      </c>
      <c r="B250" s="7" t="s">
        <v>114</v>
      </c>
    </row>
    <row r="251" spans="1:2">
      <c r="A251" s="6">
        <v>202400989</v>
      </c>
      <c r="B251" s="7" t="s">
        <v>113</v>
      </c>
    </row>
    <row r="252" spans="1:2">
      <c r="A252" s="6">
        <v>202400989</v>
      </c>
      <c r="B252" s="7" t="s">
        <v>113</v>
      </c>
    </row>
    <row r="253" spans="1:2">
      <c r="A253" s="6">
        <v>202400989</v>
      </c>
      <c r="B253" s="7" t="s">
        <v>113</v>
      </c>
    </row>
    <row r="254" spans="1:2">
      <c r="A254" s="6">
        <v>202400988</v>
      </c>
      <c r="B254" s="7" t="s">
        <v>114</v>
      </c>
    </row>
    <row r="255" spans="1:2">
      <c r="A255" s="6">
        <v>202400989</v>
      </c>
      <c r="B255" s="7" t="s">
        <v>113</v>
      </c>
    </row>
    <row r="256" spans="1:2">
      <c r="A256" s="6">
        <v>202400988</v>
      </c>
      <c r="B256" s="7" t="s">
        <v>114</v>
      </c>
    </row>
    <row r="257" spans="1:2">
      <c r="A257" s="6">
        <v>202400989</v>
      </c>
      <c r="B257" s="7" t="s">
        <v>113</v>
      </c>
    </row>
    <row r="258" spans="1:2">
      <c r="A258" s="6">
        <v>202400989</v>
      </c>
      <c r="B258" s="7" t="s">
        <v>113</v>
      </c>
    </row>
    <row r="259" spans="1:2">
      <c r="A259" s="6">
        <v>202400989</v>
      </c>
      <c r="B259" s="7" t="s">
        <v>113</v>
      </c>
    </row>
    <row r="260" spans="1:2">
      <c r="A260" s="6">
        <v>202400988</v>
      </c>
      <c r="B260" s="7" t="s">
        <v>114</v>
      </c>
    </row>
    <row r="261" spans="1:2">
      <c r="A261" s="6">
        <v>202400989</v>
      </c>
      <c r="B261" s="7" t="s">
        <v>113</v>
      </c>
    </row>
    <row r="262" spans="1:2">
      <c r="A262" s="6">
        <v>202400989</v>
      </c>
      <c r="B262" s="7" t="s">
        <v>113</v>
      </c>
    </row>
    <row r="263" spans="1:2">
      <c r="A263" s="6">
        <v>202400989</v>
      </c>
      <c r="B263" s="7" t="s">
        <v>113</v>
      </c>
    </row>
    <row r="264" spans="1:2">
      <c r="A264" s="6">
        <v>202400989</v>
      </c>
      <c r="B264" s="7" t="s">
        <v>113</v>
      </c>
    </row>
    <row r="265" spans="1:2">
      <c r="A265" s="6">
        <v>202400989</v>
      </c>
      <c r="B265" s="7" t="s">
        <v>113</v>
      </c>
    </row>
    <row r="266" spans="1:2">
      <c r="A266" s="6">
        <v>202400989</v>
      </c>
      <c r="B266" s="7" t="s">
        <v>113</v>
      </c>
    </row>
    <row r="267" spans="1:2">
      <c r="A267" s="6">
        <v>202400988</v>
      </c>
      <c r="B267" s="7" t="s">
        <v>114</v>
      </c>
    </row>
    <row r="268" spans="1:2">
      <c r="A268" s="6">
        <v>202400989</v>
      </c>
      <c r="B268" s="7" t="s">
        <v>113</v>
      </c>
    </row>
    <row r="269" spans="1:2">
      <c r="A269" s="6">
        <v>202400989</v>
      </c>
      <c r="B269" s="7" t="s">
        <v>113</v>
      </c>
    </row>
    <row r="270" spans="1:2">
      <c r="A270" s="6">
        <v>202400989</v>
      </c>
      <c r="B270" s="7" t="s">
        <v>113</v>
      </c>
    </row>
    <row r="271" spans="1:2">
      <c r="A271" s="6">
        <v>202400989</v>
      </c>
      <c r="B271" s="7" t="s">
        <v>113</v>
      </c>
    </row>
    <row r="272" spans="1:2">
      <c r="A272" s="6">
        <v>202400988</v>
      </c>
      <c r="B272" s="7" t="s">
        <v>114</v>
      </c>
    </row>
    <row r="273" spans="1:2">
      <c r="A273" s="6">
        <v>202400989</v>
      </c>
      <c r="B273" s="7" t="s">
        <v>113</v>
      </c>
    </row>
    <row r="274" spans="1:2">
      <c r="A274" s="6">
        <v>202400989</v>
      </c>
      <c r="B274" s="7" t="s">
        <v>113</v>
      </c>
    </row>
    <row r="275" spans="1:2">
      <c r="A275" s="6">
        <v>202400989</v>
      </c>
      <c r="B275" s="7" t="s">
        <v>113</v>
      </c>
    </row>
    <row r="276" spans="1:2">
      <c r="A276" s="6">
        <v>202400988</v>
      </c>
      <c r="B276" s="7" t="s">
        <v>114</v>
      </c>
    </row>
    <row r="277" spans="1:2">
      <c r="A277" s="6">
        <v>202400989</v>
      </c>
      <c r="B277" s="7" t="s">
        <v>113</v>
      </c>
    </row>
    <row r="278" spans="1:2">
      <c r="A278" s="6">
        <v>202400989</v>
      </c>
      <c r="B278" s="7" t="s">
        <v>113</v>
      </c>
    </row>
    <row r="279" spans="1:2">
      <c r="A279" s="6">
        <v>202400989</v>
      </c>
      <c r="B279" s="7" t="s">
        <v>113</v>
      </c>
    </row>
    <row r="280" spans="1:2">
      <c r="A280" s="6">
        <v>202400989</v>
      </c>
      <c r="B280" s="7" t="s">
        <v>113</v>
      </c>
    </row>
    <row r="281" spans="1:2">
      <c r="A281" s="6">
        <v>202400989</v>
      </c>
      <c r="B281" s="7" t="s">
        <v>113</v>
      </c>
    </row>
    <row r="282" spans="1:2">
      <c r="A282" s="6">
        <v>202400989</v>
      </c>
      <c r="B282" s="7" t="s">
        <v>113</v>
      </c>
    </row>
    <row r="283" spans="1:2">
      <c r="A283" s="6">
        <v>202400989</v>
      </c>
      <c r="B283" s="7" t="s">
        <v>113</v>
      </c>
    </row>
    <row r="284" spans="1:2">
      <c r="A284" s="6">
        <v>202400989</v>
      </c>
      <c r="B284" s="7" t="s">
        <v>113</v>
      </c>
    </row>
    <row r="285" spans="1:2">
      <c r="A285" s="6">
        <v>202401099</v>
      </c>
      <c r="B285" s="7" t="s">
        <v>115</v>
      </c>
    </row>
    <row r="286" spans="1:2">
      <c r="A286" s="6">
        <v>202401099</v>
      </c>
      <c r="B286" s="7" t="s">
        <v>115</v>
      </c>
    </row>
    <row r="287" spans="1:2">
      <c r="A287" s="6">
        <v>202401100</v>
      </c>
      <c r="B287" s="7" t="s">
        <v>103</v>
      </c>
    </row>
    <row r="288" spans="1:2">
      <c r="A288" s="6">
        <v>202401100</v>
      </c>
      <c r="B288" s="7" t="s">
        <v>103</v>
      </c>
    </row>
    <row r="289" spans="1:2">
      <c r="A289" s="6">
        <v>202401100</v>
      </c>
      <c r="B289" s="7" t="s">
        <v>103</v>
      </c>
    </row>
    <row r="290" spans="1:2">
      <c r="A290" s="6">
        <v>202401100</v>
      </c>
      <c r="B290" s="7" t="s">
        <v>103</v>
      </c>
    </row>
    <row r="291" spans="1:2">
      <c r="A291" s="6">
        <v>202401100</v>
      </c>
      <c r="B291" s="7" t="s">
        <v>103</v>
      </c>
    </row>
    <row r="292" spans="1:2">
      <c r="A292" s="6">
        <v>202401099</v>
      </c>
      <c r="B292" s="7" t="s">
        <v>115</v>
      </c>
    </row>
    <row r="293" spans="1:2">
      <c r="A293" s="6">
        <v>202401100</v>
      </c>
      <c r="B293" s="7" t="s">
        <v>103</v>
      </c>
    </row>
    <row r="294" spans="1:2">
      <c r="A294" s="6">
        <v>202401099</v>
      </c>
      <c r="B294" s="7" t="s">
        <v>115</v>
      </c>
    </row>
    <row r="295" spans="1:2">
      <c r="A295" s="6">
        <v>202401099</v>
      </c>
      <c r="B295" s="7" t="s">
        <v>115</v>
      </c>
    </row>
    <row r="296" spans="1:2">
      <c r="A296" s="6">
        <v>202401099</v>
      </c>
      <c r="B296" s="7" t="s">
        <v>115</v>
      </c>
    </row>
    <row r="297" spans="1:2">
      <c r="A297" s="6">
        <v>202401100</v>
      </c>
      <c r="B297" s="7" t="s">
        <v>103</v>
      </c>
    </row>
    <row r="298" spans="1:2">
      <c r="A298" s="6">
        <v>202401100</v>
      </c>
      <c r="B298" s="7" t="s">
        <v>103</v>
      </c>
    </row>
    <row r="299" spans="1:2">
      <c r="A299" s="6">
        <v>202401100</v>
      </c>
      <c r="B299" s="7" t="s">
        <v>103</v>
      </c>
    </row>
    <row r="300" spans="1:2">
      <c r="A300" s="6">
        <v>202401100</v>
      </c>
      <c r="B300" s="7" t="s">
        <v>103</v>
      </c>
    </row>
    <row r="301" spans="1:2">
      <c r="A301" s="6">
        <v>202401100</v>
      </c>
      <c r="B301" s="7" t="s">
        <v>103</v>
      </c>
    </row>
    <row r="302" spans="1:2">
      <c r="A302" s="6">
        <v>202401100</v>
      </c>
      <c r="B302" s="7" t="s">
        <v>103</v>
      </c>
    </row>
    <row r="303" spans="1:2">
      <c r="A303" s="6">
        <v>202401100</v>
      </c>
      <c r="B303" s="7" t="s">
        <v>103</v>
      </c>
    </row>
    <row r="304" spans="1:2">
      <c r="A304" s="6">
        <v>202401099</v>
      </c>
      <c r="B304" s="7" t="s">
        <v>115</v>
      </c>
    </row>
    <row r="305" spans="1:2">
      <c r="A305" s="6">
        <v>202401099</v>
      </c>
      <c r="B305" s="7" t="s">
        <v>115</v>
      </c>
    </row>
    <row r="306" spans="1:2">
      <c r="A306" s="6">
        <v>202401099</v>
      </c>
      <c r="B306" s="7" t="s">
        <v>115</v>
      </c>
    </row>
    <row r="307" spans="1:2">
      <c r="A307" s="6">
        <v>202401099</v>
      </c>
      <c r="B307" s="7" t="s">
        <v>115</v>
      </c>
    </row>
    <row r="308" spans="1:2">
      <c r="A308" s="6">
        <v>202401100</v>
      </c>
      <c r="B308" s="7" t="s">
        <v>103</v>
      </c>
    </row>
    <row r="309" spans="1:2">
      <c r="A309" s="6">
        <v>202401100</v>
      </c>
      <c r="B309" s="7" t="s">
        <v>103</v>
      </c>
    </row>
    <row r="310" spans="1:2">
      <c r="A310" s="6">
        <v>202401100</v>
      </c>
      <c r="B310" s="7" t="s">
        <v>103</v>
      </c>
    </row>
    <row r="311" spans="1:2">
      <c r="A311" s="6">
        <v>202401100</v>
      </c>
      <c r="B311" s="7" t="s">
        <v>103</v>
      </c>
    </row>
    <row r="312" spans="1:2">
      <c r="A312" s="6">
        <v>202401099</v>
      </c>
      <c r="B312" s="7" t="s">
        <v>115</v>
      </c>
    </row>
    <row r="313" spans="1:2">
      <c r="A313" s="6">
        <v>202401099</v>
      </c>
      <c r="B313" s="7" t="s">
        <v>115</v>
      </c>
    </row>
    <row r="314" spans="1:2">
      <c r="A314" s="6">
        <v>202401099</v>
      </c>
      <c r="B314" s="7" t="s">
        <v>115</v>
      </c>
    </row>
    <row r="315" spans="1:2">
      <c r="A315" s="6">
        <v>202401099</v>
      </c>
      <c r="B315" s="7" t="s">
        <v>115</v>
      </c>
    </row>
    <row r="316" spans="1:2">
      <c r="A316" s="6">
        <v>202401099</v>
      </c>
      <c r="B316" s="7" t="s">
        <v>115</v>
      </c>
    </row>
    <row r="317" spans="1:2">
      <c r="A317" s="6">
        <v>202401099</v>
      </c>
      <c r="B317" s="7" t="s">
        <v>115</v>
      </c>
    </row>
    <row r="318" spans="1:2">
      <c r="A318" s="6">
        <v>202401099</v>
      </c>
      <c r="B318" s="7" t="s">
        <v>115</v>
      </c>
    </row>
    <row r="319" spans="1:2">
      <c r="A319" s="6">
        <v>202400990</v>
      </c>
      <c r="B319" s="7" t="s">
        <v>116</v>
      </c>
    </row>
    <row r="320" spans="1:2">
      <c r="A320" s="6">
        <v>202401281</v>
      </c>
      <c r="B320" s="7" t="s">
        <v>105</v>
      </c>
    </row>
    <row r="321" spans="1:2">
      <c r="A321" s="6">
        <v>202400990</v>
      </c>
      <c r="B321" s="7" t="s">
        <v>116</v>
      </c>
    </row>
    <row r="322" spans="1:2">
      <c r="A322" s="6">
        <v>202401281</v>
      </c>
      <c r="B322" s="7" t="s">
        <v>105</v>
      </c>
    </row>
    <row r="323" spans="1:2">
      <c r="A323" s="6">
        <v>202400990</v>
      </c>
      <c r="B323" s="7" t="s">
        <v>116</v>
      </c>
    </row>
    <row r="324" spans="1:2">
      <c r="A324" s="6">
        <v>202400991</v>
      </c>
      <c r="B324" s="7" t="s">
        <v>109</v>
      </c>
    </row>
    <row r="325" spans="1:2">
      <c r="A325" s="6">
        <v>202400991</v>
      </c>
      <c r="B325" s="7" t="s">
        <v>109</v>
      </c>
    </row>
    <row r="326" spans="1:2">
      <c r="A326" s="6">
        <v>202400990</v>
      </c>
      <c r="B326" s="7" t="s">
        <v>116</v>
      </c>
    </row>
    <row r="327" spans="1:2">
      <c r="A327" s="6">
        <v>202400991</v>
      </c>
      <c r="B327" s="7" t="s">
        <v>109</v>
      </c>
    </row>
    <row r="328" spans="1:2">
      <c r="A328" s="6">
        <v>202400991</v>
      </c>
      <c r="B328" s="7" t="s">
        <v>109</v>
      </c>
    </row>
    <row r="329" spans="1:2">
      <c r="A329" s="6">
        <v>202400990</v>
      </c>
      <c r="B329" s="7" t="s">
        <v>116</v>
      </c>
    </row>
    <row r="330" spans="1:2">
      <c r="A330" s="6">
        <v>202400991</v>
      </c>
      <c r="B330" s="7" t="s">
        <v>109</v>
      </c>
    </row>
    <row r="331" spans="1:2">
      <c r="A331" s="6">
        <v>202400990</v>
      </c>
      <c r="B331" s="7" t="s">
        <v>116</v>
      </c>
    </row>
    <row r="332" spans="1:2">
      <c r="A332" s="6">
        <v>202400990</v>
      </c>
      <c r="B332" s="7" t="s">
        <v>116</v>
      </c>
    </row>
    <row r="333" spans="1:2">
      <c r="A333" s="6">
        <v>202400991</v>
      </c>
      <c r="B333" s="7" t="s">
        <v>109</v>
      </c>
    </row>
    <row r="334" spans="1:2">
      <c r="A334" s="6">
        <v>202400990</v>
      </c>
      <c r="B334" s="7" t="s">
        <v>116</v>
      </c>
    </row>
    <row r="335" spans="1:2">
      <c r="A335" s="6">
        <v>202400990</v>
      </c>
      <c r="B335" s="7" t="s">
        <v>116</v>
      </c>
    </row>
    <row r="336" spans="1:2">
      <c r="A336" s="6">
        <v>202400990</v>
      </c>
      <c r="B336" s="7" t="s">
        <v>116</v>
      </c>
    </row>
    <row r="337" spans="1:2">
      <c r="A337" s="6">
        <v>202400990</v>
      </c>
      <c r="B337" s="7" t="s">
        <v>116</v>
      </c>
    </row>
    <row r="338" spans="1:2">
      <c r="A338" s="6">
        <v>202400990</v>
      </c>
      <c r="B338" s="7" t="s">
        <v>116</v>
      </c>
    </row>
    <row r="339" spans="1:2">
      <c r="A339" s="6">
        <v>202400991</v>
      </c>
      <c r="B339" s="7" t="s">
        <v>109</v>
      </c>
    </row>
    <row r="340" spans="1:2">
      <c r="A340" s="6">
        <v>202400990</v>
      </c>
      <c r="B340" s="7" t="s">
        <v>116</v>
      </c>
    </row>
    <row r="341" spans="1:2">
      <c r="A341" s="6">
        <v>202400991</v>
      </c>
      <c r="B341" s="7" t="s">
        <v>109</v>
      </c>
    </row>
    <row r="342" spans="1:2">
      <c r="A342" s="6">
        <v>202400991</v>
      </c>
      <c r="B342" s="7" t="s">
        <v>109</v>
      </c>
    </row>
    <row r="343" spans="1:2">
      <c r="A343" s="6">
        <v>202400991</v>
      </c>
      <c r="B343" s="7" t="s">
        <v>109</v>
      </c>
    </row>
    <row r="344" spans="1:2">
      <c r="A344" s="6">
        <v>202400990</v>
      </c>
      <c r="B344" s="7" t="s">
        <v>116</v>
      </c>
    </row>
    <row r="345" spans="1:2">
      <c r="A345" s="6">
        <v>202400991</v>
      </c>
      <c r="B345" s="7" t="s">
        <v>109</v>
      </c>
    </row>
    <row r="346" spans="1:2">
      <c r="A346" s="6">
        <v>202400990</v>
      </c>
      <c r="B346" s="7" t="s">
        <v>116</v>
      </c>
    </row>
    <row r="347" spans="1:2">
      <c r="A347" s="6">
        <v>202400990</v>
      </c>
      <c r="B347" s="7" t="s">
        <v>116</v>
      </c>
    </row>
    <row r="348" spans="1:2">
      <c r="A348" s="6">
        <v>202401281</v>
      </c>
      <c r="B348" s="7" t="s">
        <v>105</v>
      </c>
    </row>
    <row r="349" spans="1:2">
      <c r="A349" s="6">
        <v>202400990</v>
      </c>
      <c r="B349" s="7" t="s">
        <v>116</v>
      </c>
    </row>
    <row r="350" spans="1:2">
      <c r="A350" s="6">
        <v>202400990</v>
      </c>
      <c r="B350" s="7" t="s">
        <v>116</v>
      </c>
    </row>
    <row r="351" spans="1:2">
      <c r="A351" s="6">
        <v>202400990</v>
      </c>
      <c r="B351" s="7" t="s">
        <v>116</v>
      </c>
    </row>
    <row r="352" spans="1:2">
      <c r="A352" s="6">
        <v>202401401</v>
      </c>
      <c r="B352" s="7" t="s">
        <v>117</v>
      </c>
    </row>
    <row r="353" spans="1:2">
      <c r="A353" s="6">
        <v>202401401</v>
      </c>
      <c r="B353" s="7" t="s">
        <v>117</v>
      </c>
    </row>
    <row r="354" spans="1:2">
      <c r="A354" s="6">
        <v>202400991</v>
      </c>
      <c r="B354" s="7" t="s">
        <v>109</v>
      </c>
    </row>
    <row r="355" spans="1:2">
      <c r="A355" s="6">
        <v>202400990</v>
      </c>
      <c r="B355" s="7" t="s">
        <v>116</v>
      </c>
    </row>
    <row r="356" spans="1:2">
      <c r="A356" s="6">
        <v>202401281</v>
      </c>
      <c r="B356" s="7" t="s">
        <v>105</v>
      </c>
    </row>
    <row r="357" spans="1:2">
      <c r="A357" s="6">
        <v>202400990</v>
      </c>
      <c r="B357" s="7" t="s">
        <v>116</v>
      </c>
    </row>
    <row r="358" spans="1:2">
      <c r="A358" s="6">
        <v>202400991</v>
      </c>
      <c r="B358" s="7" t="s">
        <v>109</v>
      </c>
    </row>
    <row r="359" spans="1:2">
      <c r="A359" s="6">
        <v>202401401</v>
      </c>
      <c r="B359" s="7" t="s">
        <v>117</v>
      </c>
    </row>
    <row r="360" spans="1:2">
      <c r="A360" s="6">
        <v>202401401</v>
      </c>
      <c r="B360" s="7" t="s">
        <v>117</v>
      </c>
    </row>
    <row r="361" spans="1:2">
      <c r="A361" s="6">
        <v>202400991</v>
      </c>
      <c r="B361" s="7" t="s">
        <v>109</v>
      </c>
    </row>
    <row r="362" spans="1:2">
      <c r="A362" s="6">
        <v>202400990</v>
      </c>
      <c r="B362" s="7" t="s">
        <v>116</v>
      </c>
    </row>
    <row r="363" spans="1:2">
      <c r="A363" s="6">
        <v>202400991</v>
      </c>
      <c r="B363" s="7" t="s">
        <v>109</v>
      </c>
    </row>
    <row r="364" spans="1:2">
      <c r="A364" s="6">
        <v>202401281</v>
      </c>
      <c r="B364" s="7" t="s">
        <v>105</v>
      </c>
    </row>
    <row r="365" spans="1:2">
      <c r="A365" s="6">
        <v>202400990</v>
      </c>
      <c r="B365" s="7" t="s">
        <v>116</v>
      </c>
    </row>
    <row r="366" spans="1:2">
      <c r="A366" s="6">
        <v>202400990</v>
      </c>
      <c r="B366" s="7" t="s">
        <v>116</v>
      </c>
    </row>
    <row r="367" spans="1:2">
      <c r="A367" s="6">
        <v>202400991</v>
      </c>
      <c r="B367" s="7" t="s">
        <v>109</v>
      </c>
    </row>
    <row r="368" spans="1:2">
      <c r="A368" s="6">
        <v>202401281</v>
      </c>
      <c r="B368" s="7" t="s">
        <v>105</v>
      </c>
    </row>
    <row r="369" spans="1:2">
      <c r="A369" s="6">
        <v>202401281</v>
      </c>
      <c r="B369" s="7" t="s">
        <v>105</v>
      </c>
    </row>
    <row r="370" spans="1:2">
      <c r="A370" s="6">
        <v>202400991</v>
      </c>
      <c r="B370" s="7" t="s">
        <v>109</v>
      </c>
    </row>
    <row r="371" spans="1:2">
      <c r="A371" s="6">
        <v>202401281</v>
      </c>
      <c r="B371" s="7" t="s">
        <v>105</v>
      </c>
    </row>
    <row r="372" spans="1:2">
      <c r="A372" s="6">
        <v>202401281</v>
      </c>
      <c r="B372" s="7" t="s">
        <v>105</v>
      </c>
    </row>
    <row r="373" spans="1:2">
      <c r="A373" s="6">
        <v>202400990</v>
      </c>
      <c r="B373" s="7" t="s">
        <v>116</v>
      </c>
    </row>
    <row r="374" spans="1:2">
      <c r="A374" s="6">
        <v>202400990</v>
      </c>
      <c r="B374" s="7" t="s">
        <v>116</v>
      </c>
    </row>
    <row r="375" spans="1:2">
      <c r="A375" s="6">
        <v>202400990</v>
      </c>
      <c r="B375" s="7" t="s">
        <v>116</v>
      </c>
    </row>
    <row r="376" spans="1:2">
      <c r="A376" s="6">
        <v>202401281</v>
      </c>
      <c r="B376" s="7" t="s">
        <v>105</v>
      </c>
    </row>
    <row r="377" spans="1:2">
      <c r="A377" s="6">
        <v>202400990</v>
      </c>
      <c r="B377" s="7" t="s">
        <v>116</v>
      </c>
    </row>
    <row r="378" spans="1:2">
      <c r="A378" s="6">
        <v>202400991</v>
      </c>
      <c r="B378" s="7" t="s">
        <v>109</v>
      </c>
    </row>
    <row r="379" spans="1:2">
      <c r="A379" s="6">
        <v>202400991</v>
      </c>
      <c r="B379" s="7" t="s">
        <v>109</v>
      </c>
    </row>
    <row r="380" spans="1:2">
      <c r="A380" s="6">
        <v>202401281</v>
      </c>
      <c r="B380" s="7" t="s">
        <v>105</v>
      </c>
    </row>
    <row r="381" spans="1:2">
      <c r="A381" s="6">
        <v>202400991</v>
      </c>
      <c r="B381" s="7" t="s">
        <v>109</v>
      </c>
    </row>
    <row r="382" spans="1:2">
      <c r="A382" s="6">
        <v>202400991</v>
      </c>
      <c r="B382" s="7" t="s">
        <v>109</v>
      </c>
    </row>
    <row r="383" spans="1:2">
      <c r="A383" s="6">
        <v>202400991</v>
      </c>
      <c r="B383" s="7" t="s">
        <v>109</v>
      </c>
    </row>
    <row r="384" spans="1:2">
      <c r="A384" s="6">
        <v>202400991</v>
      </c>
      <c r="B384" s="7" t="s">
        <v>109</v>
      </c>
    </row>
    <row r="385" spans="1:2">
      <c r="A385" s="6">
        <v>202400991</v>
      </c>
      <c r="B385" s="7" t="s">
        <v>109</v>
      </c>
    </row>
    <row r="386" spans="1:2">
      <c r="A386" s="6">
        <v>202400991</v>
      </c>
      <c r="B386" s="7" t="s">
        <v>109</v>
      </c>
    </row>
    <row r="387" spans="1:2">
      <c r="A387" s="6">
        <v>202401281</v>
      </c>
      <c r="B387" s="7" t="s">
        <v>105</v>
      </c>
    </row>
    <row r="388" spans="1:2">
      <c r="A388" s="6">
        <v>202401281</v>
      </c>
      <c r="B388" s="7" t="s">
        <v>105</v>
      </c>
    </row>
    <row r="389" spans="1:2">
      <c r="A389" s="6">
        <v>202401281</v>
      </c>
      <c r="B389" s="7" t="s">
        <v>105</v>
      </c>
    </row>
    <row r="390" spans="1:2">
      <c r="A390" s="6">
        <v>202400991</v>
      </c>
      <c r="B390" s="7" t="s">
        <v>109</v>
      </c>
    </row>
    <row r="391" spans="1:2">
      <c r="A391" s="6">
        <v>202401401</v>
      </c>
      <c r="B391" s="7" t="s">
        <v>117</v>
      </c>
    </row>
    <row r="392" spans="1:2">
      <c r="A392" s="6">
        <v>202401281</v>
      </c>
      <c r="B392" s="7" t="s">
        <v>105</v>
      </c>
    </row>
    <row r="393" spans="1:2">
      <c r="A393" s="6">
        <v>202401401</v>
      </c>
      <c r="B393" s="7" t="s">
        <v>117</v>
      </c>
    </row>
    <row r="394" spans="1:2">
      <c r="A394" s="6">
        <v>202401401</v>
      </c>
      <c r="B394" s="7" t="s">
        <v>117</v>
      </c>
    </row>
    <row r="395" spans="1:2">
      <c r="A395" s="6">
        <v>202401401</v>
      </c>
      <c r="B395" s="7" t="s">
        <v>117</v>
      </c>
    </row>
    <row r="396" spans="1:2">
      <c r="A396" s="6">
        <v>202400671</v>
      </c>
      <c r="B396" s="7" t="s">
        <v>104</v>
      </c>
    </row>
    <row r="397" spans="1:2">
      <c r="A397" s="8">
        <v>202400679</v>
      </c>
      <c r="B397" s="9" t="s">
        <v>107</v>
      </c>
    </row>
    <row r="398" spans="1:2">
      <c r="A398" s="6">
        <v>202400673</v>
      </c>
      <c r="B398" s="7" t="s">
        <v>111</v>
      </c>
    </row>
    <row r="399" spans="1:2">
      <c r="A399" s="6">
        <v>202400990</v>
      </c>
      <c r="B399" s="7" t="s">
        <v>116</v>
      </c>
    </row>
    <row r="400" spans="1:2">
      <c r="A400" s="6">
        <v>202401281</v>
      </c>
      <c r="B400" s="7" t="s">
        <v>105</v>
      </c>
    </row>
    <row r="401" spans="1:2">
      <c r="A401" s="6">
        <v>202401281</v>
      </c>
      <c r="B401" s="7" t="s">
        <v>105</v>
      </c>
    </row>
    <row r="402" spans="1:2">
      <c r="A402" s="6">
        <v>202400990</v>
      </c>
      <c r="B402" s="7" t="s">
        <v>116</v>
      </c>
    </row>
    <row r="403" spans="1:2">
      <c r="A403" s="6">
        <v>202401281</v>
      </c>
      <c r="B403" s="7" t="s">
        <v>105</v>
      </c>
    </row>
    <row r="404" spans="1:2">
      <c r="A404" s="6">
        <v>202401281</v>
      </c>
      <c r="B404" s="7" t="s">
        <v>105</v>
      </c>
    </row>
    <row r="405" spans="1:2">
      <c r="A405" s="6">
        <v>202401281</v>
      </c>
      <c r="B405" s="7" t="s">
        <v>105</v>
      </c>
    </row>
    <row r="406" spans="1:2">
      <c r="A406" s="6">
        <v>202400991</v>
      </c>
      <c r="B406" s="7" t="s">
        <v>109</v>
      </c>
    </row>
    <row r="407" spans="1:2">
      <c r="A407" s="6">
        <v>202401099</v>
      </c>
      <c r="B407" s="7" t="s">
        <v>115</v>
      </c>
    </row>
    <row r="408" spans="1:2">
      <c r="A408" s="6">
        <v>202400682</v>
      </c>
      <c r="B408" s="7" t="s">
        <v>112</v>
      </c>
    </row>
    <row r="409" spans="1:2">
      <c r="A409" s="6">
        <v>202400988</v>
      </c>
      <c r="B409" s="7" t="s">
        <v>114</v>
      </c>
    </row>
    <row r="410" spans="1:2">
      <c r="A410" s="6">
        <v>202401281</v>
      </c>
      <c r="B410" s="7" t="s">
        <v>105</v>
      </c>
    </row>
    <row r="411" spans="1:2">
      <c r="A411" s="6">
        <v>202401281</v>
      </c>
      <c r="B411" s="7" t="s">
        <v>105</v>
      </c>
    </row>
    <row r="412" spans="1:2">
      <c r="A412" s="6">
        <v>202400448</v>
      </c>
      <c r="B412" s="7" t="s">
        <v>118</v>
      </c>
    </row>
    <row r="413" spans="1:2">
      <c r="A413" s="6">
        <v>202400672</v>
      </c>
      <c r="B413" s="7" t="s">
        <v>106</v>
      </c>
    </row>
    <row r="414" spans="1:2">
      <c r="A414" s="6">
        <v>202500029</v>
      </c>
      <c r="B414" s="7" t="s">
        <v>119</v>
      </c>
    </row>
    <row r="415" spans="1:2">
      <c r="A415" s="6">
        <v>202500029</v>
      </c>
      <c r="B415" s="7" t="s">
        <v>119</v>
      </c>
    </row>
    <row r="416" spans="1:2">
      <c r="A416" s="6">
        <v>202500029</v>
      </c>
      <c r="B416" s="7" t="s">
        <v>119</v>
      </c>
    </row>
    <row r="417" spans="1:2">
      <c r="A417" s="6">
        <v>202500029</v>
      </c>
      <c r="B417" s="7" t="s">
        <v>119</v>
      </c>
    </row>
    <row r="418" spans="1:2">
      <c r="A418" s="6">
        <v>202500029</v>
      </c>
      <c r="B418" s="7" t="s">
        <v>119</v>
      </c>
    </row>
    <row r="419" spans="1:2">
      <c r="A419" s="6">
        <v>202500029</v>
      </c>
      <c r="B419" s="7" t="s">
        <v>119</v>
      </c>
    </row>
    <row r="420" spans="1:2">
      <c r="A420" s="6">
        <v>202500029</v>
      </c>
      <c r="B420" s="7" t="s">
        <v>119</v>
      </c>
    </row>
    <row r="421" spans="1:2">
      <c r="A421" s="6">
        <v>202500029</v>
      </c>
      <c r="B421" s="7" t="s">
        <v>119</v>
      </c>
    </row>
    <row r="422" spans="1:2">
      <c r="A422" s="6">
        <v>202500029</v>
      </c>
      <c r="B422" s="7" t="s">
        <v>119</v>
      </c>
    </row>
    <row r="423" spans="1:2">
      <c r="A423" s="6">
        <v>202500029</v>
      </c>
      <c r="B423" s="7" t="s">
        <v>119</v>
      </c>
    </row>
    <row r="424" spans="1:2">
      <c r="A424" s="6">
        <v>202500029</v>
      </c>
      <c r="B424" s="7" t="s">
        <v>119</v>
      </c>
    </row>
    <row r="425" spans="1:2">
      <c r="A425" s="6">
        <v>202500029</v>
      </c>
      <c r="B425" s="7" t="s">
        <v>119</v>
      </c>
    </row>
    <row r="426" spans="1:2">
      <c r="A426" s="6">
        <v>202500029</v>
      </c>
      <c r="B426" s="7" t="s">
        <v>119</v>
      </c>
    </row>
    <row r="427" spans="1:2">
      <c r="A427" s="6">
        <v>202500029</v>
      </c>
      <c r="B427" s="7" t="s">
        <v>119</v>
      </c>
    </row>
    <row r="428" spans="1:2">
      <c r="A428" s="6">
        <v>202500029</v>
      </c>
      <c r="B428" s="7" t="s">
        <v>119</v>
      </c>
    </row>
    <row r="429" spans="1:2">
      <c r="A429" s="6">
        <v>202500029</v>
      </c>
      <c r="B429" s="7" t="s">
        <v>119</v>
      </c>
    </row>
    <row r="430" spans="1:2">
      <c r="A430" s="6">
        <v>202500029</v>
      </c>
      <c r="B430" s="7" t="s">
        <v>119</v>
      </c>
    </row>
    <row r="431" spans="1:2">
      <c r="A431" s="6">
        <v>202500029</v>
      </c>
      <c r="B431" s="7" t="s">
        <v>119</v>
      </c>
    </row>
    <row r="432" spans="1:2">
      <c r="A432" s="6">
        <v>202500029</v>
      </c>
      <c r="B432" s="7" t="s">
        <v>119</v>
      </c>
    </row>
    <row r="433" spans="1:2">
      <c r="A433" s="6">
        <v>202500029</v>
      </c>
      <c r="B433" s="7" t="s">
        <v>119</v>
      </c>
    </row>
    <row r="434" spans="1:2">
      <c r="A434" s="6">
        <v>202500029</v>
      </c>
      <c r="B434" s="7" t="s">
        <v>119</v>
      </c>
    </row>
    <row r="435" spans="1:2">
      <c r="A435" s="6">
        <v>202500029</v>
      </c>
      <c r="B435" s="7" t="s">
        <v>119</v>
      </c>
    </row>
    <row r="436" spans="1:2">
      <c r="A436" s="6">
        <v>202500029</v>
      </c>
      <c r="B436" s="7" t="s">
        <v>119</v>
      </c>
    </row>
    <row r="437" spans="1:2">
      <c r="A437" s="6">
        <v>202500029</v>
      </c>
      <c r="B437" s="7" t="s">
        <v>119</v>
      </c>
    </row>
    <row r="438" spans="1:2">
      <c r="A438" s="6">
        <v>202500029</v>
      </c>
      <c r="B438" s="7" t="s">
        <v>119</v>
      </c>
    </row>
    <row r="439" spans="1:2">
      <c r="A439" s="6">
        <v>202500029</v>
      </c>
      <c r="B439" s="7" t="s">
        <v>119</v>
      </c>
    </row>
    <row r="440" spans="1:2">
      <c r="A440" s="6">
        <v>202500029</v>
      </c>
      <c r="B440" s="7" t="s">
        <v>119</v>
      </c>
    </row>
    <row r="441" spans="1:2">
      <c r="A441" s="6">
        <v>202500029</v>
      </c>
      <c r="B441" s="7" t="s">
        <v>119</v>
      </c>
    </row>
    <row r="442" spans="1:2">
      <c r="A442" s="6">
        <v>202500029</v>
      </c>
      <c r="B442" s="7" t="s">
        <v>119</v>
      </c>
    </row>
    <row r="443" spans="1:2">
      <c r="A443" s="6">
        <v>202500029</v>
      </c>
      <c r="B443" s="7" t="s">
        <v>119</v>
      </c>
    </row>
    <row r="444" spans="1:2">
      <c r="A444" s="6">
        <v>202500029</v>
      </c>
      <c r="B444" s="7" t="s">
        <v>119</v>
      </c>
    </row>
    <row r="445" spans="1:2">
      <c r="A445" s="6">
        <v>202500030</v>
      </c>
      <c r="B445" s="7" t="s">
        <v>120</v>
      </c>
    </row>
    <row r="446" spans="1:2">
      <c r="A446" s="6">
        <v>202500030</v>
      </c>
      <c r="B446" s="7" t="s">
        <v>120</v>
      </c>
    </row>
    <row r="447" spans="1:2">
      <c r="A447" s="6">
        <v>202500030</v>
      </c>
      <c r="B447" s="7" t="s">
        <v>120</v>
      </c>
    </row>
    <row r="448" spans="1:2">
      <c r="A448" s="6">
        <v>202500030</v>
      </c>
      <c r="B448" s="7" t="s">
        <v>120</v>
      </c>
    </row>
    <row r="449" spans="1:2">
      <c r="A449" s="6">
        <v>202500030</v>
      </c>
      <c r="B449" s="7" t="s">
        <v>120</v>
      </c>
    </row>
    <row r="450" spans="1:2">
      <c r="A450" s="6">
        <v>202500030</v>
      </c>
      <c r="B450" s="7" t="s">
        <v>120</v>
      </c>
    </row>
    <row r="451" spans="1:2">
      <c r="A451" s="6">
        <v>202500030</v>
      </c>
      <c r="B451" s="7" t="s">
        <v>120</v>
      </c>
    </row>
    <row r="452" spans="1:2">
      <c r="A452" s="6">
        <v>202500030</v>
      </c>
      <c r="B452" s="7" t="s">
        <v>120</v>
      </c>
    </row>
    <row r="453" spans="1:2">
      <c r="A453" s="6">
        <v>202500030</v>
      </c>
      <c r="B453" s="7" t="s">
        <v>120</v>
      </c>
    </row>
    <row r="454" spans="1:2">
      <c r="A454" s="6">
        <v>202500030</v>
      </c>
      <c r="B454" s="7" t="s">
        <v>120</v>
      </c>
    </row>
    <row r="455" spans="1:2">
      <c r="A455" s="6">
        <v>202500030</v>
      </c>
      <c r="B455" s="7" t="s">
        <v>120</v>
      </c>
    </row>
    <row r="456" spans="1:2">
      <c r="A456" s="6">
        <v>202500030</v>
      </c>
      <c r="B456" s="7" t="s">
        <v>120</v>
      </c>
    </row>
    <row r="457" spans="1:2">
      <c r="A457" s="6">
        <v>202500030</v>
      </c>
      <c r="B457" s="7" t="s">
        <v>120</v>
      </c>
    </row>
    <row r="458" spans="1:2">
      <c r="A458" s="6">
        <v>202500030</v>
      </c>
      <c r="B458" s="7" t="s">
        <v>120</v>
      </c>
    </row>
    <row r="459" spans="1:2">
      <c r="A459" s="6">
        <v>202500030</v>
      </c>
      <c r="B459" s="7" t="s">
        <v>120</v>
      </c>
    </row>
    <row r="460" spans="1:2">
      <c r="A460" s="6">
        <v>202500030</v>
      </c>
      <c r="B460" s="7" t="s">
        <v>120</v>
      </c>
    </row>
    <row r="461" spans="1:2">
      <c r="A461" s="6">
        <v>202500030</v>
      </c>
      <c r="B461" s="7" t="s">
        <v>120</v>
      </c>
    </row>
    <row r="462" spans="1:2">
      <c r="A462" s="6">
        <v>202500030</v>
      </c>
      <c r="B462" s="7" t="s">
        <v>120</v>
      </c>
    </row>
    <row r="463" spans="1:2">
      <c r="A463" s="6">
        <v>202500030</v>
      </c>
      <c r="B463" s="7" t="s">
        <v>120</v>
      </c>
    </row>
    <row r="464" spans="1:2">
      <c r="A464" s="6">
        <v>202500030</v>
      </c>
      <c r="B464" s="7" t="s">
        <v>120</v>
      </c>
    </row>
    <row r="465" spans="1:2">
      <c r="A465" s="6">
        <v>202500030</v>
      </c>
      <c r="B465" s="7" t="s">
        <v>120</v>
      </c>
    </row>
    <row r="466" spans="1:2">
      <c r="A466" s="6">
        <v>202500030</v>
      </c>
      <c r="B466" s="7" t="s">
        <v>120</v>
      </c>
    </row>
    <row r="467" spans="1:2">
      <c r="A467" s="6">
        <v>202500030</v>
      </c>
      <c r="B467" s="7" t="s">
        <v>120</v>
      </c>
    </row>
    <row r="468" spans="1:2">
      <c r="A468" s="6">
        <v>202500030</v>
      </c>
      <c r="B468" s="7" t="s">
        <v>120</v>
      </c>
    </row>
    <row r="469" spans="1:2">
      <c r="A469" s="6">
        <v>202500030</v>
      </c>
      <c r="B469" s="7" t="s">
        <v>120</v>
      </c>
    </row>
    <row r="470" spans="1:2">
      <c r="A470" s="6">
        <v>202500030</v>
      </c>
      <c r="B470" s="7" t="s">
        <v>120</v>
      </c>
    </row>
    <row r="471" spans="1:2">
      <c r="A471" s="6">
        <v>202500030</v>
      </c>
      <c r="B471" s="7" t="s">
        <v>120</v>
      </c>
    </row>
    <row r="472" spans="1:2">
      <c r="A472" s="6">
        <v>202500030</v>
      </c>
      <c r="B472" s="7" t="s">
        <v>120</v>
      </c>
    </row>
    <row r="473" spans="1:2">
      <c r="A473" s="6">
        <v>202500030</v>
      </c>
      <c r="B473" s="7" t="s">
        <v>120</v>
      </c>
    </row>
    <row r="474" spans="1:2">
      <c r="A474" s="6">
        <v>202500030</v>
      </c>
      <c r="B474" s="7" t="s">
        <v>120</v>
      </c>
    </row>
    <row r="475" spans="1:2">
      <c r="A475" s="6">
        <v>202500030</v>
      </c>
      <c r="B475" s="7" t="s">
        <v>120</v>
      </c>
    </row>
    <row r="476" spans="1:2">
      <c r="A476" s="6">
        <v>202500031</v>
      </c>
      <c r="B476" s="7" t="s">
        <v>121</v>
      </c>
    </row>
    <row r="477" spans="1:2">
      <c r="A477" s="6">
        <v>202500031</v>
      </c>
      <c r="B477" s="7" t="s">
        <v>121</v>
      </c>
    </row>
    <row r="478" spans="1:2">
      <c r="A478" s="6">
        <v>202500031</v>
      </c>
      <c r="B478" s="7" t="s">
        <v>121</v>
      </c>
    </row>
    <row r="479" spans="1:2">
      <c r="A479" s="6">
        <v>202500031</v>
      </c>
      <c r="B479" s="7" t="s">
        <v>121</v>
      </c>
    </row>
    <row r="480" spans="1:2">
      <c r="A480" s="6">
        <v>202500031</v>
      </c>
      <c r="B480" s="7" t="s">
        <v>121</v>
      </c>
    </row>
    <row r="481" spans="1:2">
      <c r="A481" s="6">
        <v>202500031</v>
      </c>
      <c r="B481" s="7" t="s">
        <v>121</v>
      </c>
    </row>
    <row r="482" spans="1:2">
      <c r="A482" s="6">
        <v>202500031</v>
      </c>
      <c r="B482" s="7" t="s">
        <v>121</v>
      </c>
    </row>
    <row r="483" spans="1:2">
      <c r="A483" s="6">
        <v>202500031</v>
      </c>
      <c r="B483" s="7" t="s">
        <v>121</v>
      </c>
    </row>
    <row r="484" spans="1:2">
      <c r="A484" s="6">
        <v>202500031</v>
      </c>
      <c r="B484" s="7" t="s">
        <v>121</v>
      </c>
    </row>
    <row r="485" spans="1:2">
      <c r="A485" s="6">
        <v>202500031</v>
      </c>
      <c r="B485" s="7" t="s">
        <v>121</v>
      </c>
    </row>
    <row r="486" spans="1:2">
      <c r="A486" s="6">
        <v>202500031</v>
      </c>
      <c r="B486" s="7" t="s">
        <v>121</v>
      </c>
    </row>
    <row r="487" spans="1:2">
      <c r="A487" s="6">
        <v>202500031</v>
      </c>
      <c r="B487" s="7" t="s">
        <v>121</v>
      </c>
    </row>
    <row r="488" spans="1:2">
      <c r="A488" s="6">
        <v>202500031</v>
      </c>
      <c r="B488" s="7" t="s">
        <v>121</v>
      </c>
    </row>
    <row r="489" spans="1:2">
      <c r="A489" s="6">
        <v>202500031</v>
      </c>
      <c r="B489" s="7" t="s">
        <v>121</v>
      </c>
    </row>
    <row r="490" spans="1:2">
      <c r="A490" s="6">
        <v>202500031</v>
      </c>
      <c r="B490" s="7" t="s">
        <v>121</v>
      </c>
    </row>
    <row r="491" spans="1:2">
      <c r="A491" s="6">
        <v>202500031</v>
      </c>
      <c r="B491" s="7" t="s">
        <v>121</v>
      </c>
    </row>
    <row r="492" spans="1:2">
      <c r="A492" s="6">
        <v>202500031</v>
      </c>
      <c r="B492" s="7" t="s">
        <v>121</v>
      </c>
    </row>
    <row r="493" spans="1:2">
      <c r="A493" s="6">
        <v>202500031</v>
      </c>
      <c r="B493" s="7" t="s">
        <v>121</v>
      </c>
    </row>
    <row r="494" spans="1:2">
      <c r="A494" s="6">
        <v>202500031</v>
      </c>
      <c r="B494" s="7" t="s">
        <v>121</v>
      </c>
    </row>
    <row r="495" spans="1:2">
      <c r="A495" s="6">
        <v>202500031</v>
      </c>
      <c r="B495" s="7" t="s">
        <v>121</v>
      </c>
    </row>
    <row r="496" spans="1:2">
      <c r="A496" s="6">
        <v>202500031</v>
      </c>
      <c r="B496" s="7" t="s">
        <v>121</v>
      </c>
    </row>
    <row r="497" spans="1:2">
      <c r="A497" s="6">
        <v>202500031</v>
      </c>
      <c r="B497" s="7" t="s">
        <v>121</v>
      </c>
    </row>
    <row r="498" spans="1:2">
      <c r="A498" s="6">
        <v>202500034</v>
      </c>
      <c r="B498" s="7" t="s">
        <v>122</v>
      </c>
    </row>
    <row r="499" spans="1:2">
      <c r="A499" s="6">
        <v>202500034</v>
      </c>
      <c r="B499" s="7" t="s">
        <v>122</v>
      </c>
    </row>
    <row r="500" spans="1:2">
      <c r="A500" s="6">
        <v>202500034</v>
      </c>
      <c r="B500" s="7" t="s">
        <v>122</v>
      </c>
    </row>
    <row r="501" spans="1:2">
      <c r="A501" s="6">
        <v>202500034</v>
      </c>
      <c r="B501" s="7" t="s">
        <v>122</v>
      </c>
    </row>
    <row r="502" spans="1:2">
      <c r="A502" s="6">
        <v>202500034</v>
      </c>
      <c r="B502" s="7" t="s">
        <v>122</v>
      </c>
    </row>
    <row r="503" spans="1:2">
      <c r="A503" s="6">
        <v>202500034</v>
      </c>
      <c r="B503" s="7" t="s">
        <v>122</v>
      </c>
    </row>
    <row r="504" spans="1:2">
      <c r="A504" s="6">
        <v>202500034</v>
      </c>
      <c r="B504" s="7" t="s">
        <v>122</v>
      </c>
    </row>
    <row r="505" spans="1:2">
      <c r="A505" s="6">
        <v>202500034</v>
      </c>
      <c r="B505" s="7" t="s">
        <v>122</v>
      </c>
    </row>
    <row r="506" spans="1:2">
      <c r="A506" s="6">
        <v>202500034</v>
      </c>
      <c r="B506" s="7" t="s">
        <v>122</v>
      </c>
    </row>
    <row r="507" spans="1:2">
      <c r="A507" s="6">
        <v>202500034</v>
      </c>
      <c r="B507" s="7" t="s">
        <v>122</v>
      </c>
    </row>
    <row r="508" spans="1:2">
      <c r="A508" s="6">
        <v>202500034</v>
      </c>
      <c r="B508" s="7" t="s">
        <v>122</v>
      </c>
    </row>
    <row r="509" spans="1:2">
      <c r="A509" s="6">
        <v>202500034</v>
      </c>
      <c r="B509" s="7" t="s">
        <v>122</v>
      </c>
    </row>
    <row r="510" spans="1:2">
      <c r="A510" s="6">
        <v>202500034</v>
      </c>
      <c r="B510" s="7" t="s">
        <v>122</v>
      </c>
    </row>
    <row r="511" spans="1:2">
      <c r="A511" s="6">
        <v>202500034</v>
      </c>
      <c r="B511" s="7" t="s">
        <v>122</v>
      </c>
    </row>
    <row r="512" spans="1:2">
      <c r="A512" s="6">
        <v>202500034</v>
      </c>
      <c r="B512" s="7" t="s">
        <v>122</v>
      </c>
    </row>
    <row r="513" spans="1:2">
      <c r="A513" s="6">
        <v>202500034</v>
      </c>
      <c r="B513" s="7" t="s">
        <v>122</v>
      </c>
    </row>
    <row r="514" spans="1:2">
      <c r="A514" s="6">
        <v>202500034</v>
      </c>
      <c r="B514" s="7" t="s">
        <v>122</v>
      </c>
    </row>
    <row r="515" spans="1:2">
      <c r="A515" s="6">
        <v>202500034</v>
      </c>
      <c r="B515" s="7" t="s">
        <v>122</v>
      </c>
    </row>
    <row r="516" spans="1:2">
      <c r="A516" s="6">
        <v>202500034</v>
      </c>
      <c r="B516" s="7" t="s">
        <v>122</v>
      </c>
    </row>
    <row r="517" spans="1:2">
      <c r="A517" s="10">
        <v>202500034</v>
      </c>
      <c r="B517" s="7" t="s">
        <v>122</v>
      </c>
    </row>
    <row r="518" spans="1:2">
      <c r="A518" s="6">
        <v>202500034</v>
      </c>
      <c r="B518" s="7" t="s">
        <v>122</v>
      </c>
    </row>
    <row r="519" spans="1:2">
      <c r="A519" s="10">
        <v>202500034</v>
      </c>
      <c r="B519" s="7" t="s">
        <v>122</v>
      </c>
    </row>
    <row r="520" spans="1:2">
      <c r="A520" s="6">
        <v>202500034</v>
      </c>
      <c r="B520" s="7" t="s">
        <v>122</v>
      </c>
    </row>
    <row r="521" spans="1:2">
      <c r="A521" s="6">
        <v>202500034</v>
      </c>
      <c r="B521" s="7" t="s">
        <v>122</v>
      </c>
    </row>
    <row r="522" spans="1:2">
      <c r="A522" s="6">
        <v>202500031</v>
      </c>
      <c r="B522" s="7" t="s">
        <v>121</v>
      </c>
    </row>
    <row r="523" spans="1:2">
      <c r="A523" s="6">
        <v>202500031</v>
      </c>
      <c r="B523" s="7" t="s">
        <v>121</v>
      </c>
    </row>
    <row r="524" spans="1:2">
      <c r="A524" s="6">
        <v>202500031</v>
      </c>
      <c r="B524" s="7" t="s">
        <v>121</v>
      </c>
    </row>
    <row r="525" spans="1:2">
      <c r="A525" s="6">
        <v>202500031</v>
      </c>
      <c r="B525" s="7" t="s">
        <v>121</v>
      </c>
    </row>
    <row r="526" spans="1:2">
      <c r="A526" s="6">
        <v>202500034</v>
      </c>
      <c r="B526" s="7" t="s">
        <v>122</v>
      </c>
    </row>
    <row r="527" spans="1:2">
      <c r="A527" s="6">
        <v>202500034</v>
      </c>
      <c r="B527" s="7" t="s">
        <v>122</v>
      </c>
    </row>
    <row r="528" spans="1:2">
      <c r="A528" s="6">
        <v>202500034</v>
      </c>
      <c r="B528" s="7" t="s">
        <v>122</v>
      </c>
    </row>
    <row r="529" spans="1:2">
      <c r="A529" s="6">
        <v>202500034</v>
      </c>
      <c r="B529" s="7" t="s">
        <v>122</v>
      </c>
    </row>
    <row r="530" spans="1:2">
      <c r="A530" s="6">
        <v>202500034</v>
      </c>
      <c r="B530" s="7" t="s">
        <v>122</v>
      </c>
    </row>
    <row r="531" spans="1:2">
      <c r="A531" s="6">
        <v>202500034</v>
      </c>
      <c r="B531" s="7" t="s">
        <v>122</v>
      </c>
    </row>
    <row r="532" spans="1:2">
      <c r="A532" s="6">
        <v>202500034</v>
      </c>
      <c r="B532" s="7" t="s">
        <v>122</v>
      </c>
    </row>
    <row r="533" spans="1:2">
      <c r="A533" s="6">
        <v>202500034</v>
      </c>
      <c r="B533" s="7" t="s">
        <v>122</v>
      </c>
    </row>
    <row r="534" spans="1:2">
      <c r="A534" s="6">
        <v>202500034</v>
      </c>
      <c r="B534" s="7" t="s">
        <v>122</v>
      </c>
    </row>
    <row r="535" spans="1:2">
      <c r="A535" s="6">
        <v>202500034</v>
      </c>
      <c r="B535" s="7" t="s">
        <v>122</v>
      </c>
    </row>
    <row r="536" spans="1:2">
      <c r="A536" s="6">
        <v>202500034</v>
      </c>
      <c r="B536" s="7" t="s">
        <v>122</v>
      </c>
    </row>
    <row r="537" spans="1:2">
      <c r="A537" s="6">
        <v>202500034</v>
      </c>
      <c r="B537" s="7" t="s">
        <v>122</v>
      </c>
    </row>
    <row r="538" spans="1:2">
      <c r="A538" s="6">
        <v>202500034</v>
      </c>
      <c r="B538" s="7" t="s">
        <v>122</v>
      </c>
    </row>
    <row r="539" spans="1:2">
      <c r="A539" s="6">
        <v>202500034</v>
      </c>
      <c r="B539" s="7" t="s">
        <v>122</v>
      </c>
    </row>
    <row r="540" spans="1:2">
      <c r="A540" s="6">
        <v>202500034</v>
      </c>
      <c r="B540" s="7" t="s">
        <v>122</v>
      </c>
    </row>
    <row r="541" spans="1:2">
      <c r="A541" s="6">
        <v>202500034</v>
      </c>
      <c r="B541" s="7" t="s">
        <v>122</v>
      </c>
    </row>
    <row r="542" spans="1:2">
      <c r="A542" s="6">
        <v>202500034</v>
      </c>
      <c r="B542" s="7" t="s">
        <v>122</v>
      </c>
    </row>
    <row r="543" spans="1:2">
      <c r="A543" s="6">
        <v>202500118</v>
      </c>
      <c r="B543" s="7" t="s">
        <v>123</v>
      </c>
    </row>
    <row r="544" spans="1:2">
      <c r="A544" s="6">
        <v>202500118</v>
      </c>
      <c r="B544" s="7" t="s">
        <v>123</v>
      </c>
    </row>
    <row r="545" spans="1:2">
      <c r="A545" s="8">
        <v>202500118</v>
      </c>
      <c r="B545" s="7" t="s">
        <v>123</v>
      </c>
    </row>
    <row r="546" spans="1:2">
      <c r="A546" s="6">
        <v>202500118</v>
      </c>
      <c r="B546" s="7" t="s">
        <v>123</v>
      </c>
    </row>
    <row r="547" spans="1:2">
      <c r="A547" s="6">
        <v>202500118</v>
      </c>
      <c r="B547" s="7" t="s">
        <v>123</v>
      </c>
    </row>
    <row r="548" spans="1:2">
      <c r="A548" s="6">
        <v>202500118</v>
      </c>
      <c r="B548" s="7" t="s">
        <v>123</v>
      </c>
    </row>
    <row r="549" spans="1:2">
      <c r="A549" s="6">
        <v>202500118</v>
      </c>
      <c r="B549" s="7" t="s">
        <v>123</v>
      </c>
    </row>
    <row r="550" spans="1:2">
      <c r="A550" s="6">
        <v>202500118</v>
      </c>
      <c r="B550" s="7" t="s">
        <v>123</v>
      </c>
    </row>
    <row r="551" spans="1:2">
      <c r="A551" s="6">
        <v>202500118</v>
      </c>
      <c r="B551" s="7" t="s">
        <v>123</v>
      </c>
    </row>
    <row r="552" spans="1:2">
      <c r="A552" s="6">
        <v>202500118</v>
      </c>
      <c r="B552" s="7" t="s">
        <v>123</v>
      </c>
    </row>
    <row r="553" spans="1:2">
      <c r="A553" s="6">
        <v>202500118</v>
      </c>
      <c r="B553" s="7" t="s">
        <v>123</v>
      </c>
    </row>
    <row r="554" spans="1:2">
      <c r="A554" s="6">
        <v>202500118</v>
      </c>
      <c r="B554" s="7" t="s">
        <v>123</v>
      </c>
    </row>
    <row r="555" spans="1:2">
      <c r="A555" s="6">
        <v>202500118</v>
      </c>
      <c r="B555" s="7" t="s">
        <v>123</v>
      </c>
    </row>
    <row r="556" spans="1:2">
      <c r="A556" s="6">
        <v>202500118</v>
      </c>
      <c r="B556" s="7" t="s">
        <v>123</v>
      </c>
    </row>
    <row r="557" spans="1:2">
      <c r="A557" s="6">
        <v>202500118</v>
      </c>
      <c r="B557" s="7" t="s">
        <v>123</v>
      </c>
    </row>
    <row r="558" spans="1:2">
      <c r="A558" s="6">
        <v>202500118</v>
      </c>
      <c r="B558" s="7" t="s">
        <v>123</v>
      </c>
    </row>
    <row r="559" spans="1:2">
      <c r="A559" s="6">
        <v>202500118</v>
      </c>
      <c r="B559" s="7" t="s">
        <v>123</v>
      </c>
    </row>
    <row r="560" spans="1:2">
      <c r="A560" s="6">
        <v>202500118</v>
      </c>
      <c r="B560" s="7" t="s">
        <v>123</v>
      </c>
    </row>
    <row r="561" spans="1:2">
      <c r="A561" s="6">
        <v>202500118</v>
      </c>
      <c r="B561" s="7" t="s">
        <v>123</v>
      </c>
    </row>
    <row r="562" spans="1:2">
      <c r="A562" s="6">
        <v>202500118</v>
      </c>
      <c r="B562" s="7" t="s">
        <v>123</v>
      </c>
    </row>
    <row r="563" spans="1:2">
      <c r="A563" s="6">
        <v>202500118</v>
      </c>
      <c r="B563" s="7" t="s">
        <v>123</v>
      </c>
    </row>
    <row r="564" spans="1:2">
      <c r="A564" s="6">
        <v>202500118</v>
      </c>
      <c r="B564" s="7" t="s">
        <v>123</v>
      </c>
    </row>
    <row r="565" spans="1:2">
      <c r="A565" s="6">
        <v>202500118</v>
      </c>
      <c r="B565" s="7" t="s">
        <v>123</v>
      </c>
    </row>
    <row r="566" spans="1:2">
      <c r="A566" s="6">
        <v>202500118</v>
      </c>
      <c r="B566" s="7" t="s">
        <v>123</v>
      </c>
    </row>
    <row r="567" spans="1:2">
      <c r="A567" s="6">
        <v>202500118</v>
      </c>
      <c r="B567" s="7" t="s">
        <v>123</v>
      </c>
    </row>
    <row r="568" spans="1:2">
      <c r="A568" s="6">
        <v>202500118</v>
      </c>
      <c r="B568" s="7" t="s">
        <v>123</v>
      </c>
    </row>
    <row r="569" spans="1:2">
      <c r="A569" s="6">
        <v>202500118</v>
      </c>
      <c r="B569" s="7" t="s">
        <v>123</v>
      </c>
    </row>
    <row r="570" spans="1:2">
      <c r="A570" s="6">
        <v>202500118</v>
      </c>
      <c r="B570" s="7" t="s">
        <v>123</v>
      </c>
    </row>
    <row r="571" spans="1:2">
      <c r="A571" s="6">
        <v>202500118</v>
      </c>
      <c r="B571" s="7" t="s">
        <v>123</v>
      </c>
    </row>
    <row r="572" spans="1:2">
      <c r="A572" s="6">
        <v>202500118</v>
      </c>
      <c r="B572" s="7" t="s">
        <v>123</v>
      </c>
    </row>
    <row r="573" spans="1:2">
      <c r="A573" s="6">
        <v>202500119</v>
      </c>
      <c r="B573" s="7" t="s">
        <v>124</v>
      </c>
    </row>
    <row r="574" spans="1:2">
      <c r="A574" s="6">
        <v>202500119</v>
      </c>
      <c r="B574" s="7" t="s">
        <v>124</v>
      </c>
    </row>
    <row r="575" spans="1:2">
      <c r="A575" s="6">
        <v>202500119</v>
      </c>
      <c r="B575" s="7" t="s">
        <v>124</v>
      </c>
    </row>
    <row r="576" spans="1:2">
      <c r="A576" s="6">
        <v>202500119</v>
      </c>
      <c r="B576" s="7" t="s">
        <v>124</v>
      </c>
    </row>
    <row r="577" spans="1:2">
      <c r="A577" s="6">
        <v>202500119</v>
      </c>
      <c r="B577" s="7" t="s">
        <v>124</v>
      </c>
    </row>
    <row r="578" spans="1:2">
      <c r="A578" s="6">
        <v>202500119</v>
      </c>
      <c r="B578" s="7" t="s">
        <v>124</v>
      </c>
    </row>
    <row r="579" spans="1:2">
      <c r="A579" s="6">
        <v>202500119</v>
      </c>
      <c r="B579" s="7" t="s">
        <v>124</v>
      </c>
    </row>
    <row r="580" spans="1:2">
      <c r="A580" s="6">
        <v>202500119</v>
      </c>
      <c r="B580" s="7" t="s">
        <v>124</v>
      </c>
    </row>
    <row r="581" spans="1:2">
      <c r="A581" s="6">
        <v>202500119</v>
      </c>
      <c r="B581" s="7" t="s">
        <v>124</v>
      </c>
    </row>
    <row r="582" spans="1:2">
      <c r="A582" s="6">
        <v>202500119</v>
      </c>
      <c r="B582" s="7" t="s">
        <v>124</v>
      </c>
    </row>
    <row r="583" spans="1:2">
      <c r="A583" s="6">
        <v>202500119</v>
      </c>
      <c r="B583" s="7" t="s">
        <v>124</v>
      </c>
    </row>
    <row r="584" spans="1:2">
      <c r="A584" s="6">
        <v>202500119</v>
      </c>
      <c r="B584" s="7" t="s">
        <v>124</v>
      </c>
    </row>
    <row r="585" spans="1:2">
      <c r="A585" s="6">
        <v>202500119</v>
      </c>
      <c r="B585" s="7" t="s">
        <v>124</v>
      </c>
    </row>
    <row r="586" spans="1:2">
      <c r="A586" s="6">
        <v>202500119</v>
      </c>
      <c r="B586" s="7" t="s">
        <v>124</v>
      </c>
    </row>
    <row r="587" spans="1:2">
      <c r="A587" s="6">
        <v>202500119</v>
      </c>
      <c r="B587" s="7" t="s">
        <v>124</v>
      </c>
    </row>
    <row r="588" spans="1:2">
      <c r="A588" s="6">
        <v>202500119</v>
      </c>
      <c r="B588" s="7" t="s">
        <v>124</v>
      </c>
    </row>
    <row r="589" spans="1:2">
      <c r="A589" s="6">
        <v>202500119</v>
      </c>
      <c r="B589" s="7" t="s">
        <v>124</v>
      </c>
    </row>
    <row r="590" spans="1:2">
      <c r="A590" s="6">
        <v>202500119</v>
      </c>
      <c r="B590" s="7" t="s">
        <v>124</v>
      </c>
    </row>
    <row r="591" spans="1:2">
      <c r="A591" s="6">
        <v>202500120</v>
      </c>
      <c r="B591" s="7" t="s">
        <v>125</v>
      </c>
    </row>
    <row r="592" spans="1:2">
      <c r="A592" s="6">
        <v>202500120</v>
      </c>
      <c r="B592" s="7" t="s">
        <v>125</v>
      </c>
    </row>
    <row r="593" spans="1:2">
      <c r="A593" s="6">
        <v>202500120</v>
      </c>
      <c r="B593" s="7" t="s">
        <v>125</v>
      </c>
    </row>
    <row r="594" spans="1:2">
      <c r="A594" s="6">
        <v>202500120</v>
      </c>
      <c r="B594" s="7" t="s">
        <v>125</v>
      </c>
    </row>
    <row r="595" spans="1:2">
      <c r="A595" s="6">
        <v>202500120</v>
      </c>
      <c r="B595" s="7" t="s">
        <v>125</v>
      </c>
    </row>
    <row r="596" spans="1:2">
      <c r="A596" s="6">
        <v>202500120</v>
      </c>
      <c r="B596" s="7" t="s">
        <v>125</v>
      </c>
    </row>
    <row r="597" spans="1:2">
      <c r="A597" s="6">
        <v>202500120</v>
      </c>
      <c r="B597" s="7" t="s">
        <v>125</v>
      </c>
    </row>
    <row r="598" spans="1:2">
      <c r="A598" s="6">
        <v>202500120</v>
      </c>
      <c r="B598" s="7" t="s">
        <v>125</v>
      </c>
    </row>
    <row r="599" spans="1:2">
      <c r="A599" s="6">
        <v>202500120</v>
      </c>
      <c r="B599" s="7" t="s">
        <v>125</v>
      </c>
    </row>
    <row r="600" spans="1:2">
      <c r="A600" s="6">
        <v>202500120</v>
      </c>
      <c r="B600" s="7" t="s">
        <v>125</v>
      </c>
    </row>
    <row r="601" spans="1:2">
      <c r="A601" s="6">
        <v>202500120</v>
      </c>
      <c r="B601" s="7" t="s">
        <v>125</v>
      </c>
    </row>
    <row r="602" spans="1:2">
      <c r="A602" s="6">
        <v>202500120</v>
      </c>
      <c r="B602" s="7" t="s">
        <v>125</v>
      </c>
    </row>
    <row r="603" spans="1:2">
      <c r="A603" s="6">
        <v>202500120</v>
      </c>
      <c r="B603" s="7" t="s">
        <v>125</v>
      </c>
    </row>
    <row r="604" spans="1:2">
      <c r="A604" s="6">
        <v>202500120</v>
      </c>
      <c r="B604" s="7" t="s">
        <v>125</v>
      </c>
    </row>
    <row r="605" spans="1:2">
      <c r="A605" s="6">
        <v>202500120</v>
      </c>
      <c r="B605" s="7" t="s">
        <v>125</v>
      </c>
    </row>
    <row r="606" spans="1:2">
      <c r="A606" s="6">
        <v>202500120</v>
      </c>
      <c r="B606" s="7" t="s">
        <v>125</v>
      </c>
    </row>
    <row r="607" spans="1:2">
      <c r="A607" s="6">
        <v>202500120</v>
      </c>
      <c r="B607" s="7" t="s">
        <v>125</v>
      </c>
    </row>
    <row r="608" spans="1:2">
      <c r="A608" s="6">
        <v>202500120</v>
      </c>
      <c r="B608" s="7" t="s">
        <v>125</v>
      </c>
    </row>
    <row r="609" spans="1:2">
      <c r="A609" s="6">
        <v>202500120</v>
      </c>
      <c r="B609" s="7" t="s">
        <v>125</v>
      </c>
    </row>
    <row r="610" spans="1:2">
      <c r="A610" s="6">
        <v>202500120</v>
      </c>
      <c r="B610" s="7" t="s">
        <v>125</v>
      </c>
    </row>
    <row r="611" spans="1:2">
      <c r="A611" s="6">
        <v>202500120</v>
      </c>
      <c r="B611" s="7" t="s">
        <v>125</v>
      </c>
    </row>
    <row r="612" spans="1:2">
      <c r="A612" s="6">
        <v>202500120</v>
      </c>
      <c r="B612" s="7" t="s">
        <v>125</v>
      </c>
    </row>
    <row r="613" spans="1:2">
      <c r="A613" s="6">
        <v>202500120</v>
      </c>
      <c r="B613" s="7" t="s">
        <v>125</v>
      </c>
    </row>
    <row r="614" spans="1:2">
      <c r="A614" s="6">
        <v>202500120</v>
      </c>
      <c r="B614" s="7" t="s">
        <v>125</v>
      </c>
    </row>
    <row r="615" spans="1:2">
      <c r="A615" s="6">
        <v>202500120</v>
      </c>
      <c r="B615" s="7" t="s">
        <v>125</v>
      </c>
    </row>
    <row r="616" spans="1:2">
      <c r="A616" s="6">
        <v>202500120</v>
      </c>
      <c r="B616" s="7" t="s">
        <v>125</v>
      </c>
    </row>
    <row r="617" spans="1:2">
      <c r="A617" s="6">
        <v>202500120</v>
      </c>
      <c r="B617" s="7" t="s">
        <v>125</v>
      </c>
    </row>
    <row r="618" spans="1:2">
      <c r="A618" s="6">
        <v>202500120</v>
      </c>
      <c r="B618" s="7" t="s">
        <v>125</v>
      </c>
    </row>
    <row r="619" spans="1:2">
      <c r="A619" s="6">
        <v>202500120</v>
      </c>
      <c r="B619" s="7" t="s">
        <v>125</v>
      </c>
    </row>
    <row r="620" spans="1:2">
      <c r="A620" s="6">
        <v>202500120</v>
      </c>
      <c r="B620" s="7" t="s">
        <v>125</v>
      </c>
    </row>
    <row r="621" spans="1:2">
      <c r="A621" s="6">
        <v>202500120</v>
      </c>
      <c r="B621" s="7" t="s">
        <v>125</v>
      </c>
    </row>
    <row r="622" spans="1:2">
      <c r="A622" s="6">
        <v>202500120</v>
      </c>
      <c r="B622" s="7" t="s">
        <v>125</v>
      </c>
    </row>
    <row r="623" spans="1:2">
      <c r="A623" s="6">
        <v>202500120</v>
      </c>
      <c r="B623" s="7" t="s">
        <v>125</v>
      </c>
    </row>
    <row r="624" spans="1:2">
      <c r="A624" s="6">
        <v>202500120</v>
      </c>
      <c r="B624" s="7" t="s">
        <v>125</v>
      </c>
    </row>
    <row r="625" spans="1:2">
      <c r="A625" s="6">
        <v>202500120</v>
      </c>
      <c r="B625" s="7" t="s">
        <v>125</v>
      </c>
    </row>
    <row r="626" spans="1:2">
      <c r="A626" s="6">
        <v>202500120</v>
      </c>
      <c r="B626" s="7" t="s">
        <v>125</v>
      </c>
    </row>
    <row r="627" spans="1:2">
      <c r="A627" s="6">
        <v>202500120</v>
      </c>
      <c r="B627" s="7" t="s">
        <v>125</v>
      </c>
    </row>
    <row r="628" spans="1:2">
      <c r="A628" s="6">
        <v>202500120</v>
      </c>
      <c r="B628" s="7" t="s">
        <v>125</v>
      </c>
    </row>
    <row r="629" spans="1:2">
      <c r="A629" s="6">
        <v>202500121</v>
      </c>
      <c r="B629" s="7" t="s">
        <v>126</v>
      </c>
    </row>
    <row r="630" spans="1:2">
      <c r="A630" s="6">
        <v>202500121</v>
      </c>
      <c r="B630" s="7" t="s">
        <v>126</v>
      </c>
    </row>
    <row r="631" spans="1:2">
      <c r="A631" s="6">
        <v>202500121</v>
      </c>
      <c r="B631" s="7" t="s">
        <v>126</v>
      </c>
    </row>
    <row r="632" spans="1:2">
      <c r="A632" s="6">
        <v>202500121</v>
      </c>
      <c r="B632" s="7" t="s">
        <v>126</v>
      </c>
    </row>
    <row r="633" spans="1:2">
      <c r="A633" s="6">
        <v>202500121</v>
      </c>
      <c r="B633" s="7" t="s">
        <v>126</v>
      </c>
    </row>
    <row r="634" spans="1:2">
      <c r="A634" s="6">
        <v>202500121</v>
      </c>
      <c r="B634" s="7" t="s">
        <v>126</v>
      </c>
    </row>
    <row r="635" spans="1:2">
      <c r="A635" s="6">
        <v>202500121</v>
      </c>
      <c r="B635" s="7" t="s">
        <v>126</v>
      </c>
    </row>
    <row r="636" spans="1:2">
      <c r="A636" s="6">
        <v>202500121</v>
      </c>
      <c r="B636" s="7" t="s">
        <v>126</v>
      </c>
    </row>
    <row r="637" spans="1:2">
      <c r="A637" s="6">
        <v>202500121</v>
      </c>
      <c r="B637" s="7" t="s">
        <v>126</v>
      </c>
    </row>
    <row r="638" spans="1:2">
      <c r="A638" s="6">
        <v>202500121</v>
      </c>
      <c r="B638" s="7" t="s">
        <v>126</v>
      </c>
    </row>
    <row r="639" spans="1:2">
      <c r="A639" s="6">
        <v>202500121</v>
      </c>
      <c r="B639" s="7" t="s">
        <v>126</v>
      </c>
    </row>
    <row r="640" spans="1:2">
      <c r="A640" s="6">
        <v>202500121</v>
      </c>
      <c r="B640" s="7" t="s">
        <v>126</v>
      </c>
    </row>
    <row r="641" spans="1:2">
      <c r="A641" s="6">
        <v>202500121</v>
      </c>
      <c r="B641" s="7" t="s">
        <v>126</v>
      </c>
    </row>
    <row r="642" spans="1:2">
      <c r="A642" s="6">
        <v>202500121</v>
      </c>
      <c r="B642" s="7" t="s">
        <v>126</v>
      </c>
    </row>
    <row r="643" spans="1:2">
      <c r="A643" s="6">
        <v>202500121</v>
      </c>
      <c r="B643" s="7" t="s">
        <v>126</v>
      </c>
    </row>
    <row r="644" spans="1:2">
      <c r="A644" s="6">
        <v>202500121</v>
      </c>
      <c r="B644" s="7" t="s">
        <v>126</v>
      </c>
    </row>
    <row r="645" spans="1:2">
      <c r="A645" s="6">
        <v>202500121</v>
      </c>
      <c r="B645" s="7" t="s">
        <v>126</v>
      </c>
    </row>
    <row r="646" spans="1:2">
      <c r="A646" s="6">
        <v>202500121</v>
      </c>
      <c r="B646" s="7" t="s">
        <v>126</v>
      </c>
    </row>
    <row r="647" spans="1:2">
      <c r="A647" s="6">
        <v>202500121</v>
      </c>
      <c r="B647" s="7" t="s">
        <v>126</v>
      </c>
    </row>
    <row r="648" spans="1:2">
      <c r="A648" s="6">
        <v>202500121</v>
      </c>
      <c r="B648" s="7" t="s">
        <v>126</v>
      </c>
    </row>
    <row r="649" spans="1:2">
      <c r="A649" s="6">
        <v>202500121</v>
      </c>
      <c r="B649" s="7" t="s">
        <v>126</v>
      </c>
    </row>
    <row r="650" spans="1:2">
      <c r="A650" s="6">
        <v>202500121</v>
      </c>
      <c r="B650" s="7" t="s">
        <v>126</v>
      </c>
    </row>
    <row r="651" spans="1:2">
      <c r="A651" s="6">
        <v>202500121</v>
      </c>
      <c r="B651" s="7" t="s">
        <v>126</v>
      </c>
    </row>
    <row r="652" spans="1:2">
      <c r="A652" s="6">
        <v>202500127</v>
      </c>
      <c r="B652" s="7" t="s">
        <v>127</v>
      </c>
    </row>
    <row r="653" spans="1:2">
      <c r="A653" s="6">
        <v>202500127</v>
      </c>
      <c r="B653" s="7" t="s">
        <v>127</v>
      </c>
    </row>
    <row r="654" spans="1:2">
      <c r="A654" s="6">
        <v>202500127</v>
      </c>
      <c r="B654" s="7" t="s">
        <v>127</v>
      </c>
    </row>
    <row r="655" spans="1:2">
      <c r="A655" s="6">
        <v>202500127</v>
      </c>
      <c r="B655" s="7" t="s">
        <v>127</v>
      </c>
    </row>
    <row r="656" spans="1:2">
      <c r="A656" s="6">
        <v>202500127</v>
      </c>
      <c r="B656" s="7" t="s">
        <v>127</v>
      </c>
    </row>
    <row r="657" spans="1:2">
      <c r="A657" s="6">
        <v>202500127</v>
      </c>
      <c r="B657" s="7" t="s">
        <v>127</v>
      </c>
    </row>
    <row r="658" spans="1:2">
      <c r="A658" s="6">
        <v>202500127</v>
      </c>
      <c r="B658" s="7" t="s">
        <v>127</v>
      </c>
    </row>
    <row r="659" spans="1:2">
      <c r="A659" s="6">
        <v>202500127</v>
      </c>
      <c r="B659" s="7" t="s">
        <v>127</v>
      </c>
    </row>
    <row r="660" spans="1:2">
      <c r="A660" s="6">
        <v>202500127</v>
      </c>
      <c r="B660" s="7" t="s">
        <v>127</v>
      </c>
    </row>
    <row r="661" spans="1:2">
      <c r="A661" s="6">
        <v>202500127</v>
      </c>
      <c r="B661" s="7" t="s">
        <v>127</v>
      </c>
    </row>
    <row r="662" spans="1:2">
      <c r="A662" s="6">
        <v>202500127</v>
      </c>
      <c r="B662" s="7" t="s">
        <v>127</v>
      </c>
    </row>
    <row r="663" spans="1:2">
      <c r="A663" s="6">
        <v>202500127</v>
      </c>
      <c r="B663" s="7" t="s">
        <v>127</v>
      </c>
    </row>
    <row r="664" spans="1:2">
      <c r="A664" s="6">
        <v>202500127</v>
      </c>
      <c r="B664" s="7" t="s">
        <v>127</v>
      </c>
    </row>
    <row r="665" spans="1:2">
      <c r="A665" s="6">
        <v>202500127</v>
      </c>
      <c r="B665" s="7" t="s">
        <v>127</v>
      </c>
    </row>
    <row r="666" spans="1:2">
      <c r="A666" s="6">
        <v>202500127</v>
      </c>
      <c r="B666" s="7" t="s">
        <v>127</v>
      </c>
    </row>
    <row r="667" spans="1:2">
      <c r="A667" s="6">
        <v>202500127</v>
      </c>
      <c r="B667" s="7" t="s">
        <v>127</v>
      </c>
    </row>
    <row r="668" spans="1:2">
      <c r="A668" s="6">
        <v>202500127</v>
      </c>
      <c r="B668" s="7" t="s">
        <v>127</v>
      </c>
    </row>
    <row r="669" spans="1:2">
      <c r="A669" s="6">
        <v>202500127</v>
      </c>
      <c r="B669" s="7" t="s">
        <v>127</v>
      </c>
    </row>
    <row r="670" spans="1:2">
      <c r="A670" s="6">
        <v>202500127</v>
      </c>
      <c r="B670" s="7" t="s">
        <v>127</v>
      </c>
    </row>
    <row r="671" spans="1:2">
      <c r="A671" s="6">
        <v>202500127</v>
      </c>
      <c r="B671" s="7" t="s">
        <v>127</v>
      </c>
    </row>
    <row r="672" spans="1:2">
      <c r="A672" s="6">
        <v>202500127</v>
      </c>
      <c r="B672" s="7" t="s">
        <v>127</v>
      </c>
    </row>
    <row r="673" spans="1:2">
      <c r="A673" s="6">
        <v>202500127</v>
      </c>
      <c r="B673" s="7" t="s">
        <v>127</v>
      </c>
    </row>
    <row r="674" spans="1:2">
      <c r="A674" s="6">
        <v>202500127</v>
      </c>
      <c r="B674" s="7" t="s">
        <v>127</v>
      </c>
    </row>
    <row r="675" spans="1:2">
      <c r="A675" s="6">
        <v>202500127</v>
      </c>
      <c r="B675" s="7" t="s">
        <v>127</v>
      </c>
    </row>
    <row r="676" spans="1:2">
      <c r="A676" s="6">
        <v>202500127</v>
      </c>
      <c r="B676" s="7" t="s">
        <v>127</v>
      </c>
    </row>
    <row r="677" spans="1:2">
      <c r="A677" s="6">
        <v>202500127</v>
      </c>
      <c r="B677" s="7" t="s">
        <v>127</v>
      </c>
    </row>
    <row r="678" spans="1:2">
      <c r="A678" s="6">
        <v>202500127</v>
      </c>
      <c r="B678" s="7" t="s">
        <v>127</v>
      </c>
    </row>
    <row r="679" spans="1:2">
      <c r="A679" s="6">
        <v>202500127</v>
      </c>
      <c r="B679" s="7" t="s">
        <v>127</v>
      </c>
    </row>
    <row r="680" spans="1:2">
      <c r="A680" s="6">
        <v>202500127</v>
      </c>
      <c r="B680" s="7" t="s">
        <v>127</v>
      </c>
    </row>
    <row r="681" spans="1:2">
      <c r="A681" s="6">
        <v>202500127</v>
      </c>
      <c r="B681" s="7" t="s">
        <v>127</v>
      </c>
    </row>
    <row r="682" spans="1:2">
      <c r="A682" s="6">
        <v>202500127</v>
      </c>
      <c r="B682" s="7" t="s">
        <v>127</v>
      </c>
    </row>
    <row r="683" spans="1:2">
      <c r="A683" s="6">
        <v>202500127</v>
      </c>
      <c r="B683" s="7" t="s">
        <v>127</v>
      </c>
    </row>
    <row r="684" spans="1:2">
      <c r="A684" s="6">
        <v>202500127</v>
      </c>
      <c r="B684" s="7" t="s">
        <v>127</v>
      </c>
    </row>
    <row r="685" spans="1:2">
      <c r="A685" s="6">
        <v>202500127</v>
      </c>
      <c r="B685" s="7" t="s">
        <v>127</v>
      </c>
    </row>
    <row r="686" spans="1:2">
      <c r="A686" s="6">
        <v>202500127</v>
      </c>
      <c r="B686" s="7" t="s">
        <v>127</v>
      </c>
    </row>
    <row r="687" spans="1:2">
      <c r="A687" s="6">
        <v>202500127</v>
      </c>
      <c r="B687" s="7" t="s">
        <v>127</v>
      </c>
    </row>
    <row r="688" spans="1:2">
      <c r="A688" s="6">
        <v>202500127</v>
      </c>
      <c r="B688" s="7" t="s">
        <v>127</v>
      </c>
    </row>
    <row r="689" spans="1:2">
      <c r="A689" s="6">
        <v>202500127</v>
      </c>
      <c r="B689" s="7" t="s">
        <v>127</v>
      </c>
    </row>
    <row r="690" spans="1:2">
      <c r="A690" s="6">
        <v>202500127</v>
      </c>
      <c r="B690" s="7" t="s">
        <v>127</v>
      </c>
    </row>
    <row r="691" spans="1:2">
      <c r="A691" s="6">
        <v>202500127</v>
      </c>
      <c r="B691" s="7" t="s">
        <v>127</v>
      </c>
    </row>
    <row r="692" spans="1:2">
      <c r="A692" s="6">
        <v>202500127</v>
      </c>
      <c r="B692" s="7" t="s">
        <v>127</v>
      </c>
    </row>
    <row r="693" spans="1:2">
      <c r="A693" s="6">
        <v>202500127</v>
      </c>
      <c r="B693" s="7" t="s">
        <v>127</v>
      </c>
    </row>
    <row r="694" spans="1:2">
      <c r="A694" s="6">
        <v>202500127</v>
      </c>
      <c r="B694" s="7" t="s">
        <v>127</v>
      </c>
    </row>
    <row r="695" spans="1:2">
      <c r="A695" s="6">
        <v>202500132</v>
      </c>
      <c r="B695" s="7" t="s">
        <v>128</v>
      </c>
    </row>
    <row r="696" spans="1:2">
      <c r="A696" s="6">
        <v>202500132</v>
      </c>
      <c r="B696" s="7" t="s">
        <v>128</v>
      </c>
    </row>
    <row r="697" spans="1:2">
      <c r="A697" s="6">
        <v>202500119</v>
      </c>
      <c r="B697" s="7" t="s">
        <v>124</v>
      </c>
    </row>
    <row r="698" spans="1:2">
      <c r="A698" s="6">
        <v>202500119</v>
      </c>
      <c r="B698" s="7" t="s">
        <v>124</v>
      </c>
    </row>
    <row r="699" spans="1:2">
      <c r="A699" s="6">
        <v>202500119</v>
      </c>
      <c r="B699" s="7" t="s">
        <v>124</v>
      </c>
    </row>
    <row r="700" spans="1:2">
      <c r="A700" s="6">
        <v>202500119</v>
      </c>
      <c r="B700" s="7" t="s">
        <v>124</v>
      </c>
    </row>
    <row r="701" spans="1:2">
      <c r="A701" s="6">
        <v>202500119</v>
      </c>
      <c r="B701" s="7" t="s">
        <v>124</v>
      </c>
    </row>
    <row r="702" spans="1:2">
      <c r="A702" s="6">
        <v>202500119</v>
      </c>
      <c r="B702" s="7" t="s">
        <v>124</v>
      </c>
    </row>
    <row r="703" spans="1:2">
      <c r="A703" s="6">
        <v>202500119</v>
      </c>
      <c r="B703" s="7" t="s">
        <v>124</v>
      </c>
    </row>
    <row r="704" spans="1:2">
      <c r="A704" s="6">
        <v>202500121</v>
      </c>
      <c r="B704" s="7" t="s">
        <v>126</v>
      </c>
    </row>
    <row r="705" spans="1:2">
      <c r="A705" s="6">
        <v>202500121</v>
      </c>
      <c r="B705" s="7" t="s">
        <v>126</v>
      </c>
    </row>
    <row r="706" spans="1:2">
      <c r="A706" s="6">
        <v>202500121</v>
      </c>
      <c r="B706" s="7" t="s">
        <v>126</v>
      </c>
    </row>
    <row r="707" spans="1:2">
      <c r="A707" s="6">
        <v>202500132</v>
      </c>
      <c r="B707" s="7" t="s">
        <v>128</v>
      </c>
    </row>
    <row r="708" spans="1:2">
      <c r="A708" s="6">
        <v>202500132</v>
      </c>
      <c r="B708" s="7" t="s">
        <v>128</v>
      </c>
    </row>
    <row r="709" spans="1:2">
      <c r="A709" s="6">
        <v>202500132</v>
      </c>
      <c r="B709" s="7" t="s">
        <v>128</v>
      </c>
    </row>
    <row r="710" spans="1:2">
      <c r="A710" s="6">
        <v>202500132</v>
      </c>
      <c r="B710" s="7" t="s">
        <v>128</v>
      </c>
    </row>
    <row r="711" spans="1:2">
      <c r="A711" s="6">
        <v>202500132</v>
      </c>
      <c r="B711" s="7" t="s">
        <v>128</v>
      </c>
    </row>
    <row r="712" spans="1:2">
      <c r="A712" s="6">
        <v>202500132</v>
      </c>
      <c r="B712" s="7" t="s">
        <v>128</v>
      </c>
    </row>
    <row r="713" spans="1:2">
      <c r="A713" s="6">
        <v>202500132</v>
      </c>
      <c r="B713" s="7" t="s">
        <v>128</v>
      </c>
    </row>
    <row r="714" spans="1:2">
      <c r="A714" s="6">
        <v>202500132</v>
      </c>
      <c r="B714" s="7" t="s">
        <v>128</v>
      </c>
    </row>
    <row r="715" spans="1:2">
      <c r="A715" s="6">
        <v>202500132</v>
      </c>
      <c r="B715" s="7" t="s">
        <v>128</v>
      </c>
    </row>
    <row r="716" spans="1:2">
      <c r="A716" s="6">
        <v>202500132</v>
      </c>
      <c r="B716" s="7" t="s">
        <v>128</v>
      </c>
    </row>
    <row r="717" spans="1:2">
      <c r="A717" s="6">
        <v>202500132</v>
      </c>
      <c r="B717" s="7" t="s">
        <v>128</v>
      </c>
    </row>
    <row r="718" spans="1:2">
      <c r="A718" s="6">
        <v>202500132</v>
      </c>
      <c r="B718" s="7" t="s">
        <v>128</v>
      </c>
    </row>
    <row r="719" spans="1:2">
      <c r="A719" s="6">
        <v>202500132</v>
      </c>
      <c r="B719" s="7" t="s">
        <v>128</v>
      </c>
    </row>
    <row r="720" spans="1:2">
      <c r="A720" s="6">
        <v>202500132</v>
      </c>
      <c r="B720" s="7" t="s">
        <v>128</v>
      </c>
    </row>
    <row r="721" spans="1:2">
      <c r="A721" s="6">
        <v>202500132</v>
      </c>
      <c r="B721" s="7" t="s">
        <v>128</v>
      </c>
    </row>
    <row r="722" spans="1:2">
      <c r="A722" s="6">
        <v>202500132</v>
      </c>
      <c r="B722" s="7" t="s">
        <v>128</v>
      </c>
    </row>
    <row r="723" spans="1:2">
      <c r="A723" s="6">
        <v>202500132</v>
      </c>
      <c r="B723" s="7" t="s">
        <v>128</v>
      </c>
    </row>
    <row r="724" spans="1:2">
      <c r="A724" s="6">
        <v>202500132</v>
      </c>
      <c r="B724" s="7" t="s">
        <v>128</v>
      </c>
    </row>
    <row r="725" spans="1:2">
      <c r="A725" s="6">
        <v>202500132</v>
      </c>
      <c r="B725" s="7" t="s">
        <v>128</v>
      </c>
    </row>
    <row r="726" spans="1:2">
      <c r="A726" s="6">
        <v>202500132</v>
      </c>
      <c r="B726" s="7" t="s">
        <v>128</v>
      </c>
    </row>
    <row r="727" spans="1:2">
      <c r="A727" s="6">
        <v>202500132</v>
      </c>
      <c r="B727" s="7" t="s">
        <v>128</v>
      </c>
    </row>
    <row r="728" spans="1:2">
      <c r="A728" s="6">
        <v>202500132</v>
      </c>
      <c r="B728" s="7" t="s">
        <v>128</v>
      </c>
    </row>
    <row r="729" spans="1:2">
      <c r="A729" s="6">
        <v>202500132</v>
      </c>
      <c r="B729" s="7" t="s">
        <v>128</v>
      </c>
    </row>
    <row r="730" spans="1:2">
      <c r="A730" s="6">
        <v>202500132</v>
      </c>
      <c r="B730" s="7" t="s">
        <v>128</v>
      </c>
    </row>
    <row r="731" spans="1:2">
      <c r="A731" s="6">
        <v>202500132</v>
      </c>
      <c r="B731" s="7" t="s">
        <v>128</v>
      </c>
    </row>
    <row r="732" spans="1:2">
      <c r="A732" s="6">
        <v>202500298</v>
      </c>
      <c r="B732" s="7" t="s">
        <v>129</v>
      </c>
    </row>
    <row r="733" spans="1:2">
      <c r="A733" s="6">
        <v>202500298</v>
      </c>
      <c r="B733" s="7" t="s">
        <v>129</v>
      </c>
    </row>
    <row r="734" spans="1:2">
      <c r="A734" s="6">
        <v>202500298</v>
      </c>
      <c r="B734" s="7" t="s">
        <v>129</v>
      </c>
    </row>
    <row r="735" spans="1:2">
      <c r="A735" s="6">
        <v>202500298</v>
      </c>
      <c r="B735" s="7" t="s">
        <v>129</v>
      </c>
    </row>
    <row r="736" spans="1:2">
      <c r="A736" s="6">
        <v>202500298</v>
      </c>
      <c r="B736" s="7" t="s">
        <v>129</v>
      </c>
    </row>
    <row r="737" spans="1:2">
      <c r="A737" s="6">
        <v>202500298</v>
      </c>
      <c r="B737" s="7" t="s">
        <v>129</v>
      </c>
    </row>
    <row r="738" spans="1:2">
      <c r="A738" s="6">
        <v>202500298</v>
      </c>
      <c r="B738" s="7" t="s">
        <v>129</v>
      </c>
    </row>
    <row r="739" spans="1:2">
      <c r="A739" s="6">
        <v>202500298</v>
      </c>
      <c r="B739" s="7" t="s">
        <v>129</v>
      </c>
    </row>
    <row r="740" spans="1:2">
      <c r="A740" s="6">
        <v>202500298</v>
      </c>
      <c r="B740" s="7" t="s">
        <v>129</v>
      </c>
    </row>
    <row r="741" spans="1:2">
      <c r="A741" s="6">
        <v>202500298</v>
      </c>
      <c r="B741" s="7" t="s">
        <v>129</v>
      </c>
    </row>
    <row r="742" spans="1:2">
      <c r="A742" s="6">
        <v>202500298</v>
      </c>
      <c r="B742" s="7" t="s">
        <v>129</v>
      </c>
    </row>
    <row r="743" spans="1:2">
      <c r="A743" s="8">
        <v>202500298</v>
      </c>
      <c r="B743" s="7" t="s">
        <v>129</v>
      </c>
    </row>
    <row r="744" spans="1:2">
      <c r="A744" s="6">
        <v>202500298</v>
      </c>
      <c r="B744" s="7" t="s">
        <v>129</v>
      </c>
    </row>
    <row r="745" spans="1:2">
      <c r="A745" s="6">
        <v>202500298</v>
      </c>
      <c r="B745" s="7" t="s">
        <v>129</v>
      </c>
    </row>
    <row r="746" spans="1:2">
      <c r="A746" s="6">
        <v>202500298</v>
      </c>
      <c r="B746" s="7" t="s">
        <v>129</v>
      </c>
    </row>
    <row r="747" spans="1:2">
      <c r="A747" s="6">
        <v>202500298</v>
      </c>
      <c r="B747" s="7" t="s">
        <v>129</v>
      </c>
    </row>
    <row r="748" spans="1:2">
      <c r="A748" s="6">
        <v>202500298</v>
      </c>
      <c r="B748" s="7" t="s">
        <v>129</v>
      </c>
    </row>
    <row r="749" spans="1:2">
      <c r="A749" s="6">
        <v>202500298</v>
      </c>
      <c r="B749" s="7" t="s">
        <v>129</v>
      </c>
    </row>
    <row r="750" spans="1:2">
      <c r="A750" s="6">
        <v>202500298</v>
      </c>
      <c r="B750" s="7" t="s">
        <v>129</v>
      </c>
    </row>
    <row r="751" spans="1:2">
      <c r="A751" s="6">
        <v>202500298</v>
      </c>
      <c r="B751" s="7" t="s">
        <v>129</v>
      </c>
    </row>
    <row r="752" spans="1:2">
      <c r="A752" s="6">
        <v>202500298</v>
      </c>
      <c r="B752" s="7" t="s">
        <v>129</v>
      </c>
    </row>
    <row r="753" spans="1:2">
      <c r="A753" s="6">
        <v>202500298</v>
      </c>
      <c r="B753" s="7" t="s">
        <v>129</v>
      </c>
    </row>
    <row r="754" spans="1:2">
      <c r="A754" s="6">
        <v>202500298</v>
      </c>
      <c r="B754" s="7" t="s">
        <v>129</v>
      </c>
    </row>
    <row r="755" spans="1:2">
      <c r="A755" s="6">
        <v>202500298</v>
      </c>
      <c r="B755" s="7" t="s">
        <v>129</v>
      </c>
    </row>
    <row r="756" spans="1:2">
      <c r="A756" s="6">
        <v>202500298</v>
      </c>
      <c r="B756" s="7" t="s">
        <v>129</v>
      </c>
    </row>
    <row r="757" spans="1:2">
      <c r="A757" s="6">
        <v>202500357</v>
      </c>
      <c r="B757" s="7" t="s">
        <v>130</v>
      </c>
    </row>
    <row r="758" spans="1:2">
      <c r="A758" s="6">
        <v>202500357</v>
      </c>
      <c r="B758" s="7" t="s">
        <v>130</v>
      </c>
    </row>
    <row r="759" spans="1:2">
      <c r="A759" s="6">
        <v>202500357</v>
      </c>
      <c r="B759" s="7" t="s">
        <v>130</v>
      </c>
    </row>
    <row r="760" spans="1:2">
      <c r="A760" s="6">
        <v>202500357</v>
      </c>
      <c r="B760" s="7" t="s">
        <v>130</v>
      </c>
    </row>
    <row r="761" spans="1:2">
      <c r="A761" s="6">
        <v>202500357</v>
      </c>
      <c r="B761" s="7" t="s">
        <v>130</v>
      </c>
    </row>
    <row r="762" spans="1:2">
      <c r="A762" s="6">
        <v>202500357</v>
      </c>
      <c r="B762" s="7" t="s">
        <v>130</v>
      </c>
    </row>
    <row r="763" spans="1:2">
      <c r="A763" s="6">
        <v>202500357</v>
      </c>
      <c r="B763" s="7" t="s">
        <v>130</v>
      </c>
    </row>
    <row r="764" spans="1:2">
      <c r="A764" s="6">
        <v>202500357</v>
      </c>
      <c r="B764" s="7" t="s">
        <v>130</v>
      </c>
    </row>
    <row r="765" spans="1:2">
      <c r="A765" s="6">
        <v>202500357</v>
      </c>
      <c r="B765" s="7" t="s">
        <v>130</v>
      </c>
    </row>
    <row r="766" spans="1:2">
      <c r="A766" s="6">
        <v>202500357</v>
      </c>
      <c r="B766" s="7" t="s">
        <v>130</v>
      </c>
    </row>
    <row r="767" spans="1:2">
      <c r="A767" s="6">
        <v>202500357</v>
      </c>
      <c r="B767" s="7" t="s">
        <v>130</v>
      </c>
    </row>
    <row r="768" spans="1:2">
      <c r="A768" s="6">
        <v>202500357</v>
      </c>
      <c r="B768" s="7" t="s">
        <v>130</v>
      </c>
    </row>
    <row r="769" spans="1:2">
      <c r="A769" s="6">
        <v>202500357</v>
      </c>
      <c r="B769" s="7" t="s">
        <v>130</v>
      </c>
    </row>
    <row r="770" spans="1:2">
      <c r="A770" s="6">
        <v>202500357</v>
      </c>
      <c r="B770" s="7" t="s">
        <v>130</v>
      </c>
    </row>
    <row r="771" spans="1:2">
      <c r="A771" s="6">
        <v>202500357</v>
      </c>
      <c r="B771" s="7" t="s">
        <v>130</v>
      </c>
    </row>
    <row r="772" spans="1:2">
      <c r="A772" s="6">
        <v>202500357</v>
      </c>
      <c r="B772" s="7" t="s">
        <v>130</v>
      </c>
    </row>
    <row r="773" spans="1:2">
      <c r="A773" s="6">
        <v>202500357</v>
      </c>
      <c r="B773" s="7" t="s">
        <v>130</v>
      </c>
    </row>
    <row r="774" spans="1:2">
      <c r="A774" s="6">
        <v>202500357</v>
      </c>
      <c r="B774" s="7" t="s">
        <v>130</v>
      </c>
    </row>
    <row r="775" spans="1:2">
      <c r="A775" s="6">
        <v>202500357</v>
      </c>
      <c r="B775" s="7" t="s">
        <v>130</v>
      </c>
    </row>
    <row r="776" spans="1:2">
      <c r="A776" s="6">
        <v>202500357</v>
      </c>
      <c r="B776" s="7" t="s">
        <v>130</v>
      </c>
    </row>
    <row r="777" spans="1:2">
      <c r="A777" s="6">
        <v>202500357</v>
      </c>
      <c r="B777" s="7" t="s">
        <v>130</v>
      </c>
    </row>
    <row r="778" spans="1:2">
      <c r="A778" s="6">
        <v>202500357</v>
      </c>
      <c r="B778" s="7" t="s">
        <v>130</v>
      </c>
    </row>
    <row r="779" spans="1:2">
      <c r="A779" s="6">
        <v>202500357</v>
      </c>
      <c r="B779" s="7" t="s">
        <v>130</v>
      </c>
    </row>
    <row r="780" spans="1:2">
      <c r="A780" s="6">
        <v>202500357</v>
      </c>
      <c r="B780" s="7" t="s">
        <v>130</v>
      </c>
    </row>
    <row r="781" spans="1:2">
      <c r="A781" s="6">
        <v>202500357</v>
      </c>
      <c r="B781" s="7" t="s">
        <v>130</v>
      </c>
    </row>
    <row r="782" spans="1:2">
      <c r="A782" s="6">
        <v>202500357</v>
      </c>
      <c r="B782" s="7" t="s">
        <v>130</v>
      </c>
    </row>
    <row r="783" spans="1:2">
      <c r="A783" s="6">
        <v>202500357</v>
      </c>
      <c r="B783" s="7" t="s">
        <v>130</v>
      </c>
    </row>
    <row r="784" spans="1:2">
      <c r="A784" s="6">
        <v>202500357</v>
      </c>
      <c r="B784" s="7" t="s">
        <v>130</v>
      </c>
    </row>
    <row r="785" spans="1:2">
      <c r="A785" s="6">
        <v>202500357</v>
      </c>
      <c r="B785" s="7" t="s">
        <v>130</v>
      </c>
    </row>
    <row r="786" spans="1:2">
      <c r="A786" s="6">
        <v>202500357</v>
      </c>
      <c r="B786" s="7" t="s">
        <v>130</v>
      </c>
    </row>
    <row r="787" spans="1:2">
      <c r="A787" s="6">
        <v>202500357</v>
      </c>
      <c r="B787" s="7" t="s">
        <v>130</v>
      </c>
    </row>
    <row r="788" spans="1:2">
      <c r="A788" s="6">
        <v>202500358</v>
      </c>
      <c r="B788" s="7" t="s">
        <v>131</v>
      </c>
    </row>
    <row r="789" spans="1:2">
      <c r="A789" s="6">
        <v>202500358</v>
      </c>
      <c r="B789" s="7" t="s">
        <v>131</v>
      </c>
    </row>
    <row r="790" spans="1:2">
      <c r="A790" s="6">
        <v>202500358</v>
      </c>
      <c r="B790" s="7" t="s">
        <v>131</v>
      </c>
    </row>
    <row r="791" spans="1:2">
      <c r="A791" s="6">
        <v>202500358</v>
      </c>
      <c r="B791" s="7" t="s">
        <v>131</v>
      </c>
    </row>
    <row r="792" spans="1:2">
      <c r="A792" s="6">
        <v>202500358</v>
      </c>
      <c r="B792" s="7" t="s">
        <v>131</v>
      </c>
    </row>
    <row r="793" spans="1:2">
      <c r="A793" s="6">
        <v>202500358</v>
      </c>
      <c r="B793" s="7" t="s">
        <v>131</v>
      </c>
    </row>
    <row r="794" spans="1:2">
      <c r="A794" s="6">
        <v>202500358</v>
      </c>
      <c r="B794" s="7" t="s">
        <v>131</v>
      </c>
    </row>
    <row r="795" spans="1:2">
      <c r="A795" s="6">
        <v>202500358</v>
      </c>
      <c r="B795" s="7" t="s">
        <v>131</v>
      </c>
    </row>
    <row r="796" spans="1:2">
      <c r="A796" s="6">
        <v>202500358</v>
      </c>
      <c r="B796" s="7" t="s">
        <v>131</v>
      </c>
    </row>
    <row r="797" spans="1:2">
      <c r="A797" s="6">
        <v>202500358</v>
      </c>
      <c r="B797" s="7" t="s">
        <v>131</v>
      </c>
    </row>
    <row r="798" spans="1:2">
      <c r="A798" s="6">
        <v>202500358</v>
      </c>
      <c r="B798" s="7" t="s">
        <v>131</v>
      </c>
    </row>
    <row r="799" spans="1:2">
      <c r="A799" s="6">
        <v>202500358</v>
      </c>
      <c r="B799" s="7" t="s">
        <v>131</v>
      </c>
    </row>
    <row r="800" spans="1:2">
      <c r="A800" s="6">
        <v>202500358</v>
      </c>
      <c r="B800" s="7" t="s">
        <v>131</v>
      </c>
    </row>
    <row r="801" spans="1:2">
      <c r="A801" s="6">
        <v>202500358</v>
      </c>
      <c r="B801" s="7" t="s">
        <v>131</v>
      </c>
    </row>
    <row r="802" spans="1:2">
      <c r="A802" s="6">
        <v>202500358</v>
      </c>
      <c r="B802" s="7" t="s">
        <v>131</v>
      </c>
    </row>
    <row r="803" spans="1:2">
      <c r="A803" s="6">
        <v>202500358</v>
      </c>
      <c r="B803" s="7" t="s">
        <v>131</v>
      </c>
    </row>
    <row r="804" spans="1:2">
      <c r="A804" s="6">
        <v>202500358</v>
      </c>
      <c r="B804" s="7" t="s">
        <v>131</v>
      </c>
    </row>
    <row r="805" spans="1:2">
      <c r="A805" s="6">
        <v>202500358</v>
      </c>
      <c r="B805" s="7" t="s">
        <v>131</v>
      </c>
    </row>
    <row r="806" spans="1:2">
      <c r="A806" s="6">
        <v>202500358</v>
      </c>
      <c r="B806" s="7" t="s">
        <v>131</v>
      </c>
    </row>
    <row r="807" spans="1:2">
      <c r="A807" s="6">
        <v>202500358</v>
      </c>
      <c r="B807" s="7" t="s">
        <v>131</v>
      </c>
    </row>
    <row r="808" spans="1:2">
      <c r="A808" s="6">
        <v>202500358</v>
      </c>
      <c r="B808" s="7" t="s">
        <v>131</v>
      </c>
    </row>
    <row r="809" spans="1:2">
      <c r="A809" s="6">
        <v>202500358</v>
      </c>
      <c r="B809" s="7" t="s">
        <v>131</v>
      </c>
    </row>
    <row r="810" spans="1:2">
      <c r="A810" s="6">
        <v>202500358</v>
      </c>
      <c r="B810" s="7" t="s">
        <v>131</v>
      </c>
    </row>
    <row r="811" spans="1:2">
      <c r="A811" s="6">
        <v>202500358</v>
      </c>
      <c r="B811" s="7" t="s">
        <v>131</v>
      </c>
    </row>
    <row r="812" spans="1:2">
      <c r="A812" s="6">
        <v>202500358</v>
      </c>
      <c r="B812" s="7" t="s">
        <v>131</v>
      </c>
    </row>
    <row r="813" spans="1:2">
      <c r="A813" s="6">
        <v>202500358</v>
      </c>
      <c r="B813" s="7" t="s">
        <v>131</v>
      </c>
    </row>
    <row r="814" spans="1:2">
      <c r="A814" s="6">
        <v>202500358</v>
      </c>
      <c r="B814" s="7" t="s">
        <v>131</v>
      </c>
    </row>
    <row r="815" spans="1:2">
      <c r="A815" s="6">
        <v>202500358</v>
      </c>
      <c r="B815" s="7" t="s">
        <v>131</v>
      </c>
    </row>
    <row r="816" spans="1:2">
      <c r="A816" s="6">
        <v>202500358</v>
      </c>
      <c r="B816" s="7" t="s">
        <v>131</v>
      </c>
    </row>
    <row r="817" spans="1:2">
      <c r="A817" s="6">
        <v>202500358</v>
      </c>
      <c r="B817" s="7" t="s">
        <v>131</v>
      </c>
    </row>
    <row r="818" spans="1:2">
      <c r="A818" s="6">
        <v>202500132</v>
      </c>
      <c r="B818" s="7" t="s">
        <v>128</v>
      </c>
    </row>
    <row r="819" spans="1:2">
      <c r="A819" s="6">
        <v>202500132</v>
      </c>
      <c r="B819" s="7" t="s">
        <v>128</v>
      </c>
    </row>
    <row r="820" spans="1:2">
      <c r="A820" s="6">
        <v>202401100</v>
      </c>
      <c r="B820" s="7" t="s">
        <v>103</v>
      </c>
    </row>
    <row r="821" spans="1:2">
      <c r="A821" s="6">
        <v>202401100</v>
      </c>
      <c r="B821" s="7" t="s">
        <v>103</v>
      </c>
    </row>
    <row r="822" spans="1:2">
      <c r="A822" s="6">
        <v>202401100</v>
      </c>
      <c r="B822" s="7" t="s">
        <v>103</v>
      </c>
    </row>
    <row r="823" spans="1:2">
      <c r="A823" s="6">
        <v>202401100</v>
      </c>
      <c r="B823" s="7" t="s">
        <v>103</v>
      </c>
    </row>
    <row r="824" spans="1:2">
      <c r="A824" s="12">
        <v>202401100</v>
      </c>
      <c r="B824" s="7" t="s">
        <v>103</v>
      </c>
    </row>
    <row r="825" spans="1:2">
      <c r="A825" s="12">
        <v>202401100</v>
      </c>
      <c r="B825" s="7" t="s">
        <v>103</v>
      </c>
    </row>
    <row r="826" spans="1:2">
      <c r="A826" s="12">
        <v>202401100</v>
      </c>
      <c r="B826" s="7" t="s">
        <v>103</v>
      </c>
    </row>
    <row r="827" spans="1:2">
      <c r="A827" s="12">
        <v>202401100</v>
      </c>
      <c r="B827" s="7" t="s">
        <v>103</v>
      </c>
    </row>
    <row r="828" spans="1:2">
      <c r="A828" s="13">
        <v>202500379</v>
      </c>
      <c r="B828" s="7" t="s">
        <v>132</v>
      </c>
    </row>
    <row r="829" spans="1:2">
      <c r="A829" s="13">
        <v>202500379</v>
      </c>
      <c r="B829" s="7" t="s">
        <v>132</v>
      </c>
    </row>
    <row r="830" spans="1:2">
      <c r="A830" s="13">
        <v>202500379</v>
      </c>
      <c r="B830" s="7" t="s">
        <v>132</v>
      </c>
    </row>
    <row r="831" spans="1:2">
      <c r="A831" s="13">
        <v>202500379</v>
      </c>
      <c r="B831" s="7" t="s">
        <v>132</v>
      </c>
    </row>
    <row r="832" spans="1:2">
      <c r="A832" s="13">
        <v>202500379</v>
      </c>
      <c r="B832" s="7" t="s">
        <v>132</v>
      </c>
    </row>
    <row r="833" spans="1:2">
      <c r="A833" s="13">
        <v>202500379</v>
      </c>
      <c r="B833" s="7" t="s">
        <v>132</v>
      </c>
    </row>
    <row r="834" spans="1:2">
      <c r="A834" s="13">
        <v>202500379</v>
      </c>
      <c r="B834" s="7" t="s">
        <v>132</v>
      </c>
    </row>
    <row r="835" spans="1:2">
      <c r="A835" s="13">
        <v>202500379</v>
      </c>
      <c r="B835" s="7" t="s">
        <v>132</v>
      </c>
    </row>
    <row r="836" spans="1:2">
      <c r="A836" s="13">
        <v>202500379</v>
      </c>
      <c r="B836" s="7" t="s">
        <v>132</v>
      </c>
    </row>
    <row r="837" spans="1:2">
      <c r="A837" s="13">
        <v>202500379</v>
      </c>
      <c r="B837" s="7" t="s">
        <v>132</v>
      </c>
    </row>
    <row r="838" spans="1:2">
      <c r="A838" s="13">
        <v>202500379</v>
      </c>
      <c r="B838" s="7" t="s">
        <v>132</v>
      </c>
    </row>
    <row r="839" spans="1:2">
      <c r="A839" s="13">
        <v>202500379</v>
      </c>
      <c r="B839" s="7" t="s">
        <v>132</v>
      </c>
    </row>
    <row r="840" spans="1:2">
      <c r="A840" s="13">
        <v>202500379</v>
      </c>
      <c r="B840" s="7" t="s">
        <v>132</v>
      </c>
    </row>
    <row r="841" spans="1:2">
      <c r="A841" s="13">
        <v>202500379</v>
      </c>
      <c r="B841" s="7" t="s">
        <v>132</v>
      </c>
    </row>
    <row r="842" spans="1:2">
      <c r="A842" s="13">
        <v>202500379</v>
      </c>
      <c r="B842" s="7" t="s">
        <v>132</v>
      </c>
    </row>
    <row r="843" spans="1:2">
      <c r="A843" s="13">
        <v>202500379</v>
      </c>
      <c r="B843" s="7" t="s">
        <v>132</v>
      </c>
    </row>
    <row r="844" spans="1:2">
      <c r="A844" s="13">
        <v>202500379</v>
      </c>
      <c r="B844" s="7" t="s">
        <v>132</v>
      </c>
    </row>
    <row r="845" spans="1:2">
      <c r="A845" s="13">
        <v>202500379</v>
      </c>
      <c r="B845" s="7" t="s">
        <v>132</v>
      </c>
    </row>
    <row r="846" spans="1:2">
      <c r="A846" s="13">
        <v>202500379</v>
      </c>
      <c r="B846" s="7" t="s">
        <v>132</v>
      </c>
    </row>
    <row r="847" spans="1:2">
      <c r="A847" s="13">
        <v>202500379</v>
      </c>
      <c r="B847" s="7" t="s">
        <v>132</v>
      </c>
    </row>
    <row r="848" spans="1:2">
      <c r="A848" s="13">
        <v>202500379</v>
      </c>
      <c r="B848" s="7" t="s">
        <v>132</v>
      </c>
    </row>
    <row r="849" spans="1:2">
      <c r="A849" s="13">
        <v>202500631</v>
      </c>
      <c r="B849" s="7" t="s">
        <v>133</v>
      </c>
    </row>
    <row r="850" spans="1:2">
      <c r="A850" s="13">
        <v>202500631</v>
      </c>
      <c r="B850" s="7" t="s">
        <v>133</v>
      </c>
    </row>
    <row r="851" spans="1:2">
      <c r="A851" s="13">
        <v>202500631</v>
      </c>
      <c r="B851" s="7" t="s">
        <v>133</v>
      </c>
    </row>
    <row r="852" spans="1:2">
      <c r="A852" s="13">
        <v>202500631</v>
      </c>
      <c r="B852" s="7" t="s">
        <v>133</v>
      </c>
    </row>
    <row r="853" spans="1:2">
      <c r="A853" s="13">
        <v>202500631</v>
      </c>
      <c r="B853" s="7" t="s">
        <v>133</v>
      </c>
    </row>
    <row r="854" spans="1:2">
      <c r="A854" s="13">
        <v>202500631</v>
      </c>
      <c r="B854" s="7" t="s">
        <v>133</v>
      </c>
    </row>
    <row r="855" spans="1:2">
      <c r="A855" s="13">
        <v>202500631</v>
      </c>
      <c r="B855" s="7" t="s">
        <v>133</v>
      </c>
    </row>
    <row r="856" spans="1:2">
      <c r="A856" s="13">
        <v>202500631</v>
      </c>
      <c r="B856" s="7" t="s">
        <v>133</v>
      </c>
    </row>
    <row r="857" spans="1:2">
      <c r="A857" s="13">
        <v>202500631</v>
      </c>
      <c r="B857" s="7" t="s">
        <v>133</v>
      </c>
    </row>
    <row r="858" spans="1:2">
      <c r="A858" s="13">
        <v>202500631</v>
      </c>
      <c r="B858" s="7" t="s">
        <v>133</v>
      </c>
    </row>
    <row r="859" spans="1:2">
      <c r="A859" s="13">
        <v>202500631</v>
      </c>
      <c r="B859" s="7" t="s">
        <v>133</v>
      </c>
    </row>
    <row r="860" spans="1:2">
      <c r="A860" s="13">
        <v>202500631</v>
      </c>
      <c r="B860" s="7" t="s">
        <v>133</v>
      </c>
    </row>
    <row r="861" spans="1:2">
      <c r="A861" s="13">
        <v>202500631</v>
      </c>
      <c r="B861" s="7" t="s">
        <v>133</v>
      </c>
    </row>
    <row r="862" spans="1:2">
      <c r="A862" s="13">
        <v>202500631</v>
      </c>
      <c r="B862" s="7" t="s">
        <v>133</v>
      </c>
    </row>
    <row r="863" spans="1:2">
      <c r="A863" s="13">
        <v>202500631</v>
      </c>
      <c r="B863" s="7" t="s">
        <v>133</v>
      </c>
    </row>
    <row r="864" spans="1:2">
      <c r="A864" s="13">
        <v>202500631</v>
      </c>
      <c r="B864" s="7" t="s">
        <v>133</v>
      </c>
    </row>
    <row r="865" spans="1:2">
      <c r="A865" s="13">
        <v>202500379</v>
      </c>
      <c r="B865" s="7" t="s">
        <v>132</v>
      </c>
    </row>
    <row r="866" spans="1:2">
      <c r="A866" s="13">
        <v>202500379</v>
      </c>
      <c r="B866" s="7" t="s">
        <v>132</v>
      </c>
    </row>
    <row r="867" spans="1:2">
      <c r="A867" s="13">
        <v>202500379</v>
      </c>
      <c r="B867" s="7" t="s">
        <v>132</v>
      </c>
    </row>
    <row r="868" spans="1:2">
      <c r="A868" s="13">
        <v>202500379</v>
      </c>
      <c r="B868" s="7" t="s">
        <v>132</v>
      </c>
    </row>
    <row r="869" spans="1:2">
      <c r="A869" s="13">
        <v>202500631</v>
      </c>
      <c r="B869" s="7" t="s">
        <v>133</v>
      </c>
    </row>
    <row r="870" spans="1:2">
      <c r="A870" s="13">
        <v>202500631</v>
      </c>
      <c r="B870" s="7" t="s">
        <v>133</v>
      </c>
    </row>
    <row r="871" spans="1:2">
      <c r="A871" s="13">
        <v>202500631</v>
      </c>
      <c r="B871" s="7" t="s">
        <v>133</v>
      </c>
    </row>
    <row r="872" spans="1:2">
      <c r="A872" s="13">
        <v>202500379</v>
      </c>
      <c r="B872" s="7" t="s">
        <v>132</v>
      </c>
    </row>
    <row r="873" spans="1:2">
      <c r="A873" s="13">
        <v>202500631</v>
      </c>
      <c r="B873" s="7" t="s">
        <v>133</v>
      </c>
    </row>
    <row r="874" spans="1:2">
      <c r="A874" s="13">
        <v>202500631</v>
      </c>
      <c r="B874" s="7" t="s">
        <v>133</v>
      </c>
    </row>
    <row r="875" spans="1:2">
      <c r="A875" s="13">
        <v>202500631</v>
      </c>
      <c r="B875" s="7" t="s">
        <v>133</v>
      </c>
    </row>
    <row r="876" spans="1:2">
      <c r="A876" s="13">
        <v>202500631</v>
      </c>
      <c r="B876" s="7" t="s">
        <v>133</v>
      </c>
    </row>
    <row r="877" spans="1:2">
      <c r="A877" s="13">
        <v>202500631</v>
      </c>
      <c r="B877" s="7" t="s">
        <v>133</v>
      </c>
    </row>
    <row r="878" spans="1:2">
      <c r="A878" s="13">
        <v>202500379</v>
      </c>
      <c r="B878" s="7" t="s">
        <v>132</v>
      </c>
    </row>
    <row r="879" spans="1:2">
      <c r="A879" s="13">
        <v>202500631</v>
      </c>
      <c r="B879" s="7" t="s">
        <v>133</v>
      </c>
    </row>
    <row r="880" spans="1:2">
      <c r="A880" s="13">
        <v>202500631</v>
      </c>
      <c r="B880" s="7" t="s">
        <v>133</v>
      </c>
    </row>
    <row r="881" spans="1:2">
      <c r="A881" s="13">
        <v>202500631</v>
      </c>
      <c r="B881" s="7" t="s">
        <v>133</v>
      </c>
    </row>
    <row r="882" spans="1:2">
      <c r="A882" s="13">
        <v>202500379</v>
      </c>
      <c r="B882" s="7" t="s">
        <v>132</v>
      </c>
    </row>
    <row r="883" spans="1:2">
      <c r="A883" s="13">
        <v>202500379</v>
      </c>
      <c r="B883" s="7" t="s">
        <v>132</v>
      </c>
    </row>
    <row r="884" spans="1:2">
      <c r="A884" s="13">
        <v>202500379</v>
      </c>
      <c r="B884" s="7" t="s">
        <v>132</v>
      </c>
    </row>
    <row r="885" spans="1:2">
      <c r="A885" s="13">
        <v>202500379</v>
      </c>
      <c r="B885" s="7" t="s">
        <v>132</v>
      </c>
    </row>
    <row r="886" spans="1:2">
      <c r="A886" s="13">
        <v>202500379</v>
      </c>
      <c r="B886" s="7" t="s">
        <v>132</v>
      </c>
    </row>
    <row r="887" spans="1:2">
      <c r="A887" s="13">
        <v>202500379</v>
      </c>
      <c r="B887" s="7" t="s">
        <v>132</v>
      </c>
    </row>
    <row r="888" spans="1:2">
      <c r="A888" s="13">
        <v>202500631</v>
      </c>
      <c r="B888" s="7" t="s">
        <v>133</v>
      </c>
    </row>
    <row r="889" spans="1:2">
      <c r="A889" s="13">
        <v>202500379</v>
      </c>
      <c r="B889" s="7" t="s">
        <v>132</v>
      </c>
    </row>
    <row r="890" spans="1:2">
      <c r="A890" s="13">
        <v>202500379</v>
      </c>
      <c r="B890" s="7" t="s">
        <v>132</v>
      </c>
    </row>
    <row r="891" spans="1:2">
      <c r="A891" s="13">
        <v>202500631</v>
      </c>
      <c r="B891" s="7" t="s">
        <v>133</v>
      </c>
    </row>
    <row r="892" spans="1:2">
      <c r="A892" s="13">
        <v>202500631</v>
      </c>
      <c r="B892" s="7" t="s">
        <v>133</v>
      </c>
    </row>
    <row r="893" spans="1:2">
      <c r="A893" s="13">
        <v>202500631</v>
      </c>
      <c r="B893" s="7" t="s">
        <v>133</v>
      </c>
    </row>
    <row r="894" spans="1:2">
      <c r="A894" s="13">
        <v>202500631</v>
      </c>
      <c r="B894" s="7" t="s">
        <v>133</v>
      </c>
    </row>
    <row r="895" spans="1:2">
      <c r="A895" s="13">
        <v>202500631</v>
      </c>
      <c r="B895" s="7" t="s">
        <v>133</v>
      </c>
    </row>
    <row r="896" spans="1:2">
      <c r="A896" s="14">
        <v>202500519</v>
      </c>
      <c r="B896" s="7" t="s">
        <v>134</v>
      </c>
    </row>
    <row r="897" spans="1:2">
      <c r="A897" s="15">
        <v>202500519</v>
      </c>
      <c r="B897" s="7" t="s">
        <v>134</v>
      </c>
    </row>
    <row r="898" spans="1:2">
      <c r="A898" s="14">
        <v>202500519</v>
      </c>
      <c r="B898" s="7" t="s">
        <v>134</v>
      </c>
    </row>
    <row r="899" spans="1:2">
      <c r="A899" s="15">
        <v>202500519</v>
      </c>
      <c r="B899" s="7" t="s">
        <v>134</v>
      </c>
    </row>
    <row r="900" spans="1:2">
      <c r="A900" s="14">
        <v>202500519</v>
      </c>
      <c r="B900" s="7" t="s">
        <v>134</v>
      </c>
    </row>
    <row r="901" spans="1:2">
      <c r="A901" s="15">
        <v>202500519</v>
      </c>
      <c r="B901" s="7" t="s">
        <v>134</v>
      </c>
    </row>
    <row r="902" spans="1:2">
      <c r="A902" s="14">
        <v>202500519</v>
      </c>
      <c r="B902" s="7" t="s">
        <v>134</v>
      </c>
    </row>
    <row r="903" spans="1:2">
      <c r="A903" s="15">
        <v>202500519</v>
      </c>
      <c r="B903" s="7" t="s">
        <v>134</v>
      </c>
    </row>
    <row r="904" spans="1:2">
      <c r="A904" s="14">
        <v>202500519</v>
      </c>
      <c r="B904" s="7" t="s">
        <v>134</v>
      </c>
    </row>
    <row r="905" spans="1:2">
      <c r="A905" s="15">
        <v>202500519</v>
      </c>
      <c r="B905" s="7" t="s">
        <v>134</v>
      </c>
    </row>
    <row r="906" spans="1:2">
      <c r="A906" s="14">
        <v>202500519</v>
      </c>
      <c r="B906" s="7" t="s">
        <v>134</v>
      </c>
    </row>
    <row r="907" spans="1:2">
      <c r="A907" s="15">
        <v>202500519</v>
      </c>
      <c r="B907" s="7" t="s">
        <v>134</v>
      </c>
    </row>
    <row r="908" spans="1:2">
      <c r="A908" s="14">
        <v>202500519</v>
      </c>
      <c r="B908" s="7" t="s">
        <v>134</v>
      </c>
    </row>
    <row r="909" spans="1:2">
      <c r="A909" s="15">
        <v>202500520</v>
      </c>
      <c r="B909" s="7" t="s">
        <v>135</v>
      </c>
    </row>
    <row r="910" spans="1:2">
      <c r="A910" s="14">
        <v>202500520</v>
      </c>
      <c r="B910" s="7" t="s">
        <v>135</v>
      </c>
    </row>
    <row r="911" spans="1:2">
      <c r="A911" s="15">
        <v>202500520</v>
      </c>
      <c r="B911" s="7" t="s">
        <v>135</v>
      </c>
    </row>
    <row r="912" spans="1:2">
      <c r="A912" s="14">
        <v>202500520</v>
      </c>
      <c r="B912" s="7" t="s">
        <v>135</v>
      </c>
    </row>
    <row r="913" spans="1:2">
      <c r="A913" s="15">
        <v>202500520</v>
      </c>
      <c r="B913" s="7" t="s">
        <v>135</v>
      </c>
    </row>
    <row r="914" spans="1:2">
      <c r="A914" s="14">
        <v>202500520</v>
      </c>
      <c r="B914" s="7" t="s">
        <v>135</v>
      </c>
    </row>
    <row r="915" spans="1:2">
      <c r="A915" s="15">
        <v>202500521</v>
      </c>
      <c r="B915" s="7" t="s">
        <v>136</v>
      </c>
    </row>
    <row r="916" spans="1:2">
      <c r="A916" s="14">
        <v>202500519</v>
      </c>
      <c r="B916" s="7" t="s">
        <v>134</v>
      </c>
    </row>
    <row r="917" spans="1:2">
      <c r="A917" s="15">
        <v>202500519</v>
      </c>
      <c r="B917" s="7" t="s">
        <v>134</v>
      </c>
    </row>
    <row r="918" spans="1:2">
      <c r="A918" s="14">
        <v>202500519</v>
      </c>
      <c r="B918" s="7" t="s">
        <v>134</v>
      </c>
    </row>
    <row r="919" spans="1:2">
      <c r="A919" s="15">
        <v>202500520</v>
      </c>
      <c r="B919" s="7" t="s">
        <v>135</v>
      </c>
    </row>
    <row r="920" spans="1:2">
      <c r="A920" s="14">
        <v>202500521</v>
      </c>
      <c r="B920" s="7" t="s">
        <v>136</v>
      </c>
    </row>
    <row r="921" spans="1:2">
      <c r="A921" s="15">
        <v>202500519</v>
      </c>
      <c r="B921" s="7" t="s">
        <v>134</v>
      </c>
    </row>
    <row r="922" spans="1:2">
      <c r="A922" s="14">
        <v>202500519</v>
      </c>
      <c r="B922" s="7" t="s">
        <v>134</v>
      </c>
    </row>
    <row r="923" spans="1:2">
      <c r="A923" s="15">
        <v>202500520</v>
      </c>
      <c r="B923" s="7" t="s">
        <v>135</v>
      </c>
    </row>
    <row r="924" spans="1:2">
      <c r="A924" s="14">
        <v>202500519</v>
      </c>
      <c r="B924" s="7" t="s">
        <v>134</v>
      </c>
    </row>
    <row r="925" spans="1:2">
      <c r="A925" s="15">
        <v>202500519</v>
      </c>
      <c r="B925" s="7" t="s">
        <v>134</v>
      </c>
    </row>
    <row r="926" spans="1:2">
      <c r="A926" s="14">
        <v>202500519</v>
      </c>
      <c r="B926" s="7" t="s">
        <v>134</v>
      </c>
    </row>
    <row r="927" spans="1:2">
      <c r="A927" s="15">
        <v>202500520</v>
      </c>
      <c r="B927" s="7" t="s">
        <v>135</v>
      </c>
    </row>
    <row r="928" spans="1:2">
      <c r="A928" s="14">
        <v>202500520</v>
      </c>
      <c r="B928" s="7" t="s">
        <v>135</v>
      </c>
    </row>
    <row r="929" spans="1:2">
      <c r="A929" s="15">
        <v>202500519</v>
      </c>
      <c r="B929" s="7" t="s">
        <v>134</v>
      </c>
    </row>
    <row r="930" spans="1:2">
      <c r="A930" s="14">
        <v>202500519</v>
      </c>
      <c r="B930" s="7" t="s">
        <v>134</v>
      </c>
    </row>
    <row r="931" spans="1:2">
      <c r="A931" s="15">
        <v>202500519</v>
      </c>
      <c r="B931" s="7" t="s">
        <v>134</v>
      </c>
    </row>
    <row r="932" spans="1:2">
      <c r="A932" s="14">
        <v>202500520</v>
      </c>
      <c r="B932" s="7" t="s">
        <v>135</v>
      </c>
    </row>
    <row r="933" spans="1:2">
      <c r="A933" s="15">
        <v>202500520</v>
      </c>
      <c r="B933" s="7" t="s">
        <v>135</v>
      </c>
    </row>
    <row r="934" spans="1:2">
      <c r="A934" s="14">
        <v>202500519</v>
      </c>
      <c r="B934" s="7" t="s">
        <v>134</v>
      </c>
    </row>
    <row r="935" spans="1:2">
      <c r="A935" s="15">
        <v>202500520</v>
      </c>
      <c r="B935" s="7" t="s">
        <v>135</v>
      </c>
    </row>
    <row r="936" spans="1:2">
      <c r="A936" s="14">
        <v>202500519</v>
      </c>
      <c r="B936" s="7" t="s">
        <v>134</v>
      </c>
    </row>
    <row r="937" spans="1:2">
      <c r="A937" s="15">
        <v>202500521</v>
      </c>
      <c r="B937" s="7" t="s">
        <v>136</v>
      </c>
    </row>
    <row r="938" spans="1:2">
      <c r="A938" s="14">
        <v>202500521</v>
      </c>
      <c r="B938" s="7" t="s">
        <v>136</v>
      </c>
    </row>
    <row r="939" spans="1:2">
      <c r="A939" s="15">
        <v>202500521</v>
      </c>
      <c r="B939" s="7" t="s">
        <v>136</v>
      </c>
    </row>
    <row r="940" spans="1:2">
      <c r="A940" s="14">
        <v>202500519</v>
      </c>
      <c r="B940" s="7" t="s">
        <v>134</v>
      </c>
    </row>
    <row r="941" spans="1:2">
      <c r="A941" s="15">
        <v>202500520</v>
      </c>
      <c r="B941" s="7" t="s">
        <v>135</v>
      </c>
    </row>
    <row r="942" spans="1:2">
      <c r="A942" s="14">
        <v>202500520</v>
      </c>
      <c r="B942" s="7" t="s">
        <v>135</v>
      </c>
    </row>
    <row r="943" spans="1:2">
      <c r="A943" s="15">
        <v>202500520</v>
      </c>
      <c r="B943" s="7" t="s">
        <v>135</v>
      </c>
    </row>
    <row r="944" spans="1:2">
      <c r="A944" s="14">
        <v>202500520</v>
      </c>
      <c r="B944" s="7" t="s">
        <v>135</v>
      </c>
    </row>
    <row r="945" spans="1:2">
      <c r="A945" s="15">
        <v>202500520</v>
      </c>
      <c r="B945" s="7" t="s">
        <v>135</v>
      </c>
    </row>
    <row r="946" spans="1:2">
      <c r="A946" s="14">
        <v>202500521</v>
      </c>
      <c r="B946" s="7" t="s">
        <v>136</v>
      </c>
    </row>
    <row r="947" spans="1:2">
      <c r="A947" s="15">
        <v>202500521</v>
      </c>
      <c r="B947" s="7" t="s">
        <v>136</v>
      </c>
    </row>
    <row r="948" spans="1:2">
      <c r="A948" s="14">
        <v>202500521</v>
      </c>
      <c r="B948" s="7" t="s">
        <v>136</v>
      </c>
    </row>
    <row r="949" spans="1:2">
      <c r="A949" s="15">
        <v>202500521</v>
      </c>
      <c r="B949" s="7" t="s">
        <v>136</v>
      </c>
    </row>
    <row r="950" spans="1:2">
      <c r="A950" s="14">
        <v>202500521</v>
      </c>
      <c r="B950" s="7" t="s">
        <v>136</v>
      </c>
    </row>
    <row r="951" spans="1:2">
      <c r="A951" s="15">
        <v>202500521</v>
      </c>
      <c r="B951" s="7" t="s">
        <v>136</v>
      </c>
    </row>
    <row r="952" spans="1:2">
      <c r="A952" s="14">
        <v>202500521</v>
      </c>
      <c r="B952" s="7" t="s">
        <v>136</v>
      </c>
    </row>
    <row r="953" spans="1:2">
      <c r="A953" s="15">
        <v>202500521</v>
      </c>
      <c r="B953" s="7" t="s">
        <v>136</v>
      </c>
    </row>
    <row r="954" spans="1:2">
      <c r="A954" s="14">
        <v>202500519</v>
      </c>
      <c r="B954" s="7" t="s">
        <v>134</v>
      </c>
    </row>
    <row r="955" spans="1:2">
      <c r="A955" s="15">
        <v>202500519</v>
      </c>
      <c r="B955" s="7" t="s">
        <v>134</v>
      </c>
    </row>
    <row r="956" spans="1:2">
      <c r="A956" s="14">
        <v>202500519</v>
      </c>
      <c r="B956" s="7" t="s">
        <v>134</v>
      </c>
    </row>
    <row r="957" spans="1:2">
      <c r="A957" s="15">
        <v>202500519</v>
      </c>
      <c r="B957" s="7" t="s">
        <v>134</v>
      </c>
    </row>
    <row r="958" spans="1:2">
      <c r="A958" s="14">
        <v>202500519</v>
      </c>
      <c r="B958" s="7" t="s">
        <v>134</v>
      </c>
    </row>
    <row r="959" spans="1:2">
      <c r="A959" s="15">
        <v>202500519</v>
      </c>
      <c r="B959" s="7" t="s">
        <v>134</v>
      </c>
    </row>
    <row r="960" spans="1:2">
      <c r="A960" s="14">
        <v>202500519</v>
      </c>
      <c r="B960" s="7" t="s">
        <v>134</v>
      </c>
    </row>
    <row r="961" spans="1:2">
      <c r="A961" s="15">
        <v>202500519</v>
      </c>
      <c r="B961" s="7" t="s">
        <v>134</v>
      </c>
    </row>
    <row r="962" spans="1:2">
      <c r="A962" s="14">
        <v>202500520</v>
      </c>
      <c r="B962" s="7" t="s">
        <v>135</v>
      </c>
    </row>
    <row r="963" spans="1:2">
      <c r="A963" s="15">
        <v>202500521</v>
      </c>
      <c r="B963" s="7" t="s">
        <v>136</v>
      </c>
    </row>
    <row r="964" spans="1:2">
      <c r="A964" s="14">
        <v>202500519</v>
      </c>
      <c r="B964" s="7" t="s">
        <v>134</v>
      </c>
    </row>
    <row r="965" spans="1:2">
      <c r="A965" s="15">
        <v>202500521</v>
      </c>
      <c r="B965" s="7" t="s">
        <v>136</v>
      </c>
    </row>
    <row r="966" spans="1:2">
      <c r="A966" s="14">
        <v>202500521</v>
      </c>
      <c r="B966" s="7" t="s">
        <v>136</v>
      </c>
    </row>
    <row r="967" spans="1:2">
      <c r="A967" s="15">
        <v>202500521</v>
      </c>
      <c r="B967" s="7" t="s">
        <v>136</v>
      </c>
    </row>
    <row r="968" spans="1:2">
      <c r="A968" s="14">
        <v>202500521</v>
      </c>
      <c r="B968" s="7" t="s">
        <v>136</v>
      </c>
    </row>
    <row r="969" spans="1:2">
      <c r="A969" s="15">
        <v>202500521</v>
      </c>
      <c r="B969" s="7" t="s">
        <v>136</v>
      </c>
    </row>
    <row r="970" spans="1:2">
      <c r="A970" s="14">
        <v>202500521</v>
      </c>
      <c r="B970" s="7" t="s">
        <v>136</v>
      </c>
    </row>
    <row r="971" spans="1:2">
      <c r="A971" s="15">
        <v>202500521</v>
      </c>
      <c r="B971" s="7" t="s">
        <v>136</v>
      </c>
    </row>
    <row r="972" spans="1:2">
      <c r="A972" s="14">
        <v>202500521</v>
      </c>
      <c r="B972" s="7" t="s">
        <v>136</v>
      </c>
    </row>
    <row r="973" spans="1:2">
      <c r="A973" s="15">
        <v>202500521</v>
      </c>
      <c r="B973" s="7" t="s">
        <v>136</v>
      </c>
    </row>
    <row r="974" spans="1:2">
      <c r="A974" s="14">
        <v>202500521</v>
      </c>
      <c r="B974" s="7" t="s">
        <v>136</v>
      </c>
    </row>
    <row r="975" spans="1:2">
      <c r="A975" s="15">
        <v>202500521</v>
      </c>
      <c r="B975" s="7" t="s">
        <v>136</v>
      </c>
    </row>
    <row r="976" spans="1:2">
      <c r="A976" s="14">
        <v>202500521</v>
      </c>
      <c r="B976" s="7" t="s">
        <v>136</v>
      </c>
    </row>
    <row r="977" spans="1:2">
      <c r="A977" s="15">
        <v>202500519</v>
      </c>
      <c r="B977" s="7" t="s">
        <v>134</v>
      </c>
    </row>
    <row r="978" spans="1:2">
      <c r="A978" s="14">
        <v>202500520</v>
      </c>
      <c r="B978" s="7" t="s">
        <v>135</v>
      </c>
    </row>
    <row r="979" spans="1:2">
      <c r="A979" s="15">
        <v>202500520</v>
      </c>
      <c r="B979" s="7" t="s">
        <v>135</v>
      </c>
    </row>
    <row r="980" spans="1:2">
      <c r="A980" s="14">
        <v>202500520</v>
      </c>
      <c r="B980" s="7" t="s">
        <v>135</v>
      </c>
    </row>
    <row r="981" spans="1:2">
      <c r="A981" s="15">
        <v>202500520</v>
      </c>
      <c r="B981" s="7" t="s">
        <v>135</v>
      </c>
    </row>
    <row r="982" spans="1:2">
      <c r="A982" s="14">
        <v>202500520</v>
      </c>
      <c r="B982" s="7" t="s">
        <v>135</v>
      </c>
    </row>
    <row r="983" spans="1:2">
      <c r="A983" s="15">
        <v>202500520</v>
      </c>
      <c r="B983" s="7" t="s">
        <v>135</v>
      </c>
    </row>
    <row r="984" spans="1:2">
      <c r="A984" s="14">
        <v>202500520</v>
      </c>
      <c r="B984" s="7" t="s">
        <v>135</v>
      </c>
    </row>
    <row r="985" spans="1:2">
      <c r="A985" s="15">
        <v>202500520</v>
      </c>
      <c r="B985" s="7" t="s">
        <v>135</v>
      </c>
    </row>
    <row r="986" spans="1:2">
      <c r="A986" s="14">
        <v>202500520</v>
      </c>
      <c r="B986" s="7" t="s">
        <v>135</v>
      </c>
    </row>
    <row r="987" spans="1:2">
      <c r="A987" s="15">
        <v>202500520</v>
      </c>
      <c r="B987" s="7" t="s">
        <v>135</v>
      </c>
    </row>
    <row r="988" spans="1:2">
      <c r="A988" s="14">
        <v>202500520</v>
      </c>
      <c r="B988" s="7" t="s">
        <v>135</v>
      </c>
    </row>
    <row r="989" spans="1:2">
      <c r="A989" s="15">
        <v>202500521</v>
      </c>
      <c r="B989" s="7" t="s">
        <v>136</v>
      </c>
    </row>
    <row r="990" spans="1:2">
      <c r="A990" s="14">
        <v>202500519</v>
      </c>
      <c r="B990" s="7" t="s">
        <v>134</v>
      </c>
    </row>
    <row r="991" spans="1:2">
      <c r="A991" s="15">
        <v>202500867</v>
      </c>
      <c r="B991" s="7" t="s">
        <v>137</v>
      </c>
    </row>
    <row r="992" spans="1:2">
      <c r="A992" s="14">
        <v>202500866</v>
      </c>
      <c r="B992" s="7" t="s">
        <v>138</v>
      </c>
    </row>
    <row r="993" spans="1:2">
      <c r="A993" s="15">
        <v>202500866</v>
      </c>
      <c r="B993" s="7" t="s">
        <v>138</v>
      </c>
    </row>
    <row r="994" spans="1:2">
      <c r="A994" s="14">
        <v>202500866</v>
      </c>
      <c r="B994" s="7" t="s">
        <v>138</v>
      </c>
    </row>
    <row r="995" spans="1:2">
      <c r="A995" s="15">
        <v>202500866</v>
      </c>
      <c r="B995" s="7" t="s">
        <v>138</v>
      </c>
    </row>
    <row r="996" spans="1:2">
      <c r="A996" s="14">
        <v>202500866</v>
      </c>
      <c r="B996" s="7" t="s">
        <v>138</v>
      </c>
    </row>
    <row r="997" spans="1:2">
      <c r="A997" s="15">
        <v>202500867</v>
      </c>
      <c r="B997" s="7" t="s">
        <v>137</v>
      </c>
    </row>
    <row r="998" spans="1:2">
      <c r="A998" s="14">
        <v>202500867</v>
      </c>
      <c r="B998" s="7" t="s">
        <v>137</v>
      </c>
    </row>
    <row r="999" spans="1:2">
      <c r="A999" s="15">
        <v>202500867</v>
      </c>
      <c r="B999" s="7" t="s">
        <v>137</v>
      </c>
    </row>
    <row r="1000" spans="1:2">
      <c r="A1000" s="14">
        <v>202500867</v>
      </c>
      <c r="B1000" s="7" t="s">
        <v>137</v>
      </c>
    </row>
    <row r="1001" spans="1:2">
      <c r="A1001" s="15">
        <v>202500867</v>
      </c>
      <c r="B1001" s="7" t="s">
        <v>137</v>
      </c>
    </row>
    <row r="1002" spans="1:2">
      <c r="A1002" s="14">
        <v>202500867</v>
      </c>
      <c r="B1002" s="7" t="s">
        <v>137</v>
      </c>
    </row>
    <row r="1003" spans="1:2">
      <c r="A1003" s="15">
        <v>202500866</v>
      </c>
      <c r="B1003" s="7" t="s">
        <v>138</v>
      </c>
    </row>
    <row r="1004" spans="1:2">
      <c r="A1004" s="14">
        <v>202500867</v>
      </c>
      <c r="B1004" s="7" t="s">
        <v>137</v>
      </c>
    </row>
    <row r="1005" spans="1:2">
      <c r="A1005" s="15">
        <v>202500867</v>
      </c>
      <c r="B1005" s="7" t="s">
        <v>137</v>
      </c>
    </row>
    <row r="1006" spans="1:2">
      <c r="A1006" s="14">
        <v>202500867</v>
      </c>
      <c r="B1006" s="7" t="s">
        <v>137</v>
      </c>
    </row>
    <row r="1007" spans="1:2">
      <c r="A1007" s="15">
        <v>202500867</v>
      </c>
      <c r="B1007" s="7" t="s">
        <v>137</v>
      </c>
    </row>
    <row r="1008" spans="1:2">
      <c r="A1008" s="14">
        <v>202500867</v>
      </c>
      <c r="B1008" s="7" t="s">
        <v>137</v>
      </c>
    </row>
    <row r="1009" spans="1:2">
      <c r="A1009" s="15">
        <v>202500867</v>
      </c>
      <c r="B1009" s="7" t="s">
        <v>137</v>
      </c>
    </row>
    <row r="1010" spans="1:2">
      <c r="A1010" s="14">
        <v>202500867</v>
      </c>
      <c r="B1010" s="7" t="s">
        <v>137</v>
      </c>
    </row>
    <row r="1011" spans="1:2">
      <c r="A1011" s="15">
        <v>202500867</v>
      </c>
      <c r="B1011" s="7" t="s">
        <v>137</v>
      </c>
    </row>
    <row r="1012" spans="1:2">
      <c r="A1012" s="14">
        <v>202500867</v>
      </c>
      <c r="B1012" s="7" t="s">
        <v>137</v>
      </c>
    </row>
    <row r="1013" spans="1:2">
      <c r="A1013" s="15">
        <v>202500866</v>
      </c>
      <c r="B1013" s="7" t="s">
        <v>138</v>
      </c>
    </row>
    <row r="1014" spans="1:2">
      <c r="A1014" s="14">
        <v>202500866</v>
      </c>
      <c r="B1014" s="7" t="s">
        <v>138</v>
      </c>
    </row>
    <row r="1015" spans="1:2">
      <c r="A1015" s="15">
        <v>202500866</v>
      </c>
      <c r="B1015" s="7" t="s">
        <v>138</v>
      </c>
    </row>
    <row r="1016" spans="1:2">
      <c r="A1016" s="14">
        <v>202500866</v>
      </c>
      <c r="B1016" s="7" t="s">
        <v>138</v>
      </c>
    </row>
    <row r="1017" spans="1:2">
      <c r="A1017" s="15">
        <v>202500866</v>
      </c>
      <c r="B1017" s="7" t="s">
        <v>138</v>
      </c>
    </row>
    <row r="1018" spans="1:2">
      <c r="A1018" s="14">
        <v>202500866</v>
      </c>
      <c r="B1018" s="7" t="s">
        <v>138</v>
      </c>
    </row>
    <row r="1019" spans="1:2">
      <c r="A1019" s="15">
        <v>202500866</v>
      </c>
      <c r="B1019" s="7" t="s">
        <v>138</v>
      </c>
    </row>
    <row r="1020" spans="1:2">
      <c r="A1020" s="14">
        <v>202500866</v>
      </c>
      <c r="B1020" s="7" t="s">
        <v>138</v>
      </c>
    </row>
    <row r="1021" spans="1:2">
      <c r="A1021" s="15">
        <v>202500866</v>
      </c>
      <c r="B1021" s="7" t="s">
        <v>138</v>
      </c>
    </row>
    <row r="1022" spans="1:2">
      <c r="A1022" s="14">
        <v>202500867</v>
      </c>
      <c r="B1022" s="7" t="s">
        <v>137</v>
      </c>
    </row>
    <row r="1023" spans="1:2">
      <c r="A1023" s="15">
        <v>202500867</v>
      </c>
      <c r="B1023" s="7" t="s">
        <v>137</v>
      </c>
    </row>
    <row r="1024" spans="1:2">
      <c r="A1024" s="14">
        <v>202500867</v>
      </c>
      <c r="B1024" s="7" t="s">
        <v>137</v>
      </c>
    </row>
    <row r="1025" spans="1:2">
      <c r="A1025" s="15">
        <v>202500867</v>
      </c>
      <c r="B1025" s="7" t="s">
        <v>137</v>
      </c>
    </row>
    <row r="1026" spans="1:2">
      <c r="A1026" s="14">
        <v>202500866</v>
      </c>
      <c r="B1026" s="7" t="s">
        <v>138</v>
      </c>
    </row>
    <row r="1027" spans="1:2">
      <c r="A1027" s="15">
        <v>202500866</v>
      </c>
      <c r="B1027" s="7" t="s">
        <v>138</v>
      </c>
    </row>
    <row r="1028" spans="1:2">
      <c r="A1028" s="14">
        <v>202500866</v>
      </c>
      <c r="B1028" s="7" t="s">
        <v>138</v>
      </c>
    </row>
    <row r="1029" spans="1:2">
      <c r="A1029" s="15">
        <v>202500866</v>
      </c>
      <c r="B1029" s="7" t="s">
        <v>138</v>
      </c>
    </row>
    <row r="1030" spans="1:2">
      <c r="A1030" s="14">
        <v>202500866</v>
      </c>
      <c r="B1030" s="7" t="s">
        <v>138</v>
      </c>
    </row>
    <row r="1031" spans="1:2">
      <c r="A1031" s="15">
        <v>202500866</v>
      </c>
      <c r="B1031" s="7" t="s">
        <v>138</v>
      </c>
    </row>
    <row r="1032" spans="1:2">
      <c r="A1032" s="14">
        <v>202500866</v>
      </c>
      <c r="B1032" s="7" t="s">
        <v>138</v>
      </c>
    </row>
    <row r="1033" spans="1:2">
      <c r="A1033" s="15">
        <v>202500866</v>
      </c>
      <c r="B1033" s="7" t="s">
        <v>138</v>
      </c>
    </row>
    <row r="1034" spans="1:2">
      <c r="A1034" s="14">
        <v>202500866</v>
      </c>
      <c r="B1034" s="7" t="s">
        <v>138</v>
      </c>
    </row>
    <row r="1035" spans="1:2">
      <c r="A1035" s="15">
        <v>202500866</v>
      </c>
      <c r="B1035" s="7" t="s">
        <v>138</v>
      </c>
    </row>
    <row r="1036" spans="1:2">
      <c r="A1036" s="14">
        <v>202500866</v>
      </c>
      <c r="B1036" s="7" t="s">
        <v>138</v>
      </c>
    </row>
    <row r="1037" spans="1:2">
      <c r="A1037" s="15">
        <v>202500866</v>
      </c>
      <c r="B1037" s="7" t="s">
        <v>138</v>
      </c>
    </row>
    <row r="1038" spans="1:2">
      <c r="A1038" s="14">
        <v>202500866</v>
      </c>
      <c r="B1038" s="7" t="s">
        <v>138</v>
      </c>
    </row>
    <row r="1039" spans="1:2">
      <c r="A1039" s="15">
        <v>202500866</v>
      </c>
      <c r="B1039" s="7" t="s">
        <v>138</v>
      </c>
    </row>
    <row r="1040" spans="1:2">
      <c r="A1040" s="14">
        <v>202500866</v>
      </c>
      <c r="B1040" s="7" t="s">
        <v>138</v>
      </c>
    </row>
    <row r="1041" spans="1:2">
      <c r="A1041" s="15">
        <v>202500866</v>
      </c>
      <c r="B1041" s="7" t="s">
        <v>138</v>
      </c>
    </row>
    <row r="1042" spans="1:2">
      <c r="A1042" s="14">
        <v>202500866</v>
      </c>
      <c r="B1042" s="7" t="s">
        <v>138</v>
      </c>
    </row>
    <row r="1043" spans="1:2">
      <c r="A1043" s="15">
        <v>202500866</v>
      </c>
      <c r="B1043" s="7" t="s">
        <v>138</v>
      </c>
    </row>
    <row r="1044" spans="1:2">
      <c r="A1044" s="14">
        <v>202500866</v>
      </c>
      <c r="B1044" s="7" t="s">
        <v>138</v>
      </c>
    </row>
    <row r="1045" spans="1:2">
      <c r="A1045" s="15">
        <v>202500866</v>
      </c>
      <c r="B1045" s="7" t="s">
        <v>138</v>
      </c>
    </row>
    <row r="1046" spans="1:2">
      <c r="A1046" s="14">
        <v>202500866</v>
      </c>
      <c r="B1046" s="7" t="s">
        <v>138</v>
      </c>
    </row>
    <row r="1047" spans="1:2">
      <c r="A1047" s="15">
        <v>202500866</v>
      </c>
      <c r="B1047" s="7" t="s">
        <v>138</v>
      </c>
    </row>
    <row r="1048" spans="1:2">
      <c r="A1048" s="14">
        <v>202500866</v>
      </c>
      <c r="B1048" s="7" t="s">
        <v>138</v>
      </c>
    </row>
    <row r="1049" spans="1:2">
      <c r="A1049" s="15">
        <v>202500866</v>
      </c>
      <c r="B1049" s="7" t="s">
        <v>138</v>
      </c>
    </row>
    <row r="1050" spans="1:2">
      <c r="A1050" s="14">
        <v>202500866</v>
      </c>
      <c r="B1050" s="7" t="s">
        <v>138</v>
      </c>
    </row>
    <row r="1051" spans="1:2">
      <c r="A1051" s="15">
        <v>202500866</v>
      </c>
      <c r="B1051" s="7" t="s">
        <v>138</v>
      </c>
    </row>
    <row r="1052" spans="1:2">
      <c r="A1052" s="14">
        <v>202500869</v>
      </c>
      <c r="B1052" s="7" t="s">
        <v>139</v>
      </c>
    </row>
    <row r="1053" spans="1:2">
      <c r="A1053" s="15">
        <v>202500869</v>
      </c>
      <c r="B1053" s="7" t="s">
        <v>139</v>
      </c>
    </row>
    <row r="1054" spans="1:2">
      <c r="A1054" s="14">
        <v>202500868</v>
      </c>
      <c r="B1054" s="7" t="s">
        <v>140</v>
      </c>
    </row>
    <row r="1055" spans="1:2">
      <c r="A1055" s="15">
        <v>202500868</v>
      </c>
      <c r="B1055" s="7" t="s">
        <v>140</v>
      </c>
    </row>
    <row r="1056" spans="1:2">
      <c r="A1056" s="14">
        <v>202500868</v>
      </c>
      <c r="B1056" s="7" t="s">
        <v>140</v>
      </c>
    </row>
    <row r="1057" spans="1:2">
      <c r="A1057" s="15">
        <v>202500868</v>
      </c>
      <c r="B1057" s="7" t="s">
        <v>140</v>
      </c>
    </row>
    <row r="1058" spans="1:2">
      <c r="A1058" s="14">
        <v>202500868</v>
      </c>
      <c r="B1058" s="7" t="s">
        <v>140</v>
      </c>
    </row>
    <row r="1059" spans="1:2">
      <c r="A1059" s="15">
        <v>202500868</v>
      </c>
      <c r="B1059" s="7" t="s">
        <v>140</v>
      </c>
    </row>
    <row r="1060" spans="1:2">
      <c r="A1060" s="14">
        <v>202500868</v>
      </c>
      <c r="B1060" s="7" t="s">
        <v>140</v>
      </c>
    </row>
    <row r="1061" spans="1:2">
      <c r="A1061" s="15">
        <v>202500868</v>
      </c>
      <c r="B1061" s="7" t="s">
        <v>140</v>
      </c>
    </row>
    <row r="1062" spans="1:2">
      <c r="A1062" s="14">
        <v>202500869</v>
      </c>
      <c r="B1062" s="7" t="s">
        <v>139</v>
      </c>
    </row>
    <row r="1063" spans="1:2">
      <c r="A1063" s="15">
        <v>202500868</v>
      </c>
      <c r="B1063" s="7" t="s">
        <v>140</v>
      </c>
    </row>
    <row r="1064" spans="1:2">
      <c r="A1064" s="14">
        <v>202500868</v>
      </c>
      <c r="B1064" s="7" t="s">
        <v>140</v>
      </c>
    </row>
    <row r="1065" spans="1:2">
      <c r="A1065" s="15">
        <v>202500868</v>
      </c>
      <c r="B1065" s="7" t="s">
        <v>140</v>
      </c>
    </row>
    <row r="1066" spans="1:2">
      <c r="A1066" s="14">
        <v>202500868</v>
      </c>
      <c r="B1066" s="7" t="s">
        <v>140</v>
      </c>
    </row>
    <row r="1067" spans="1:2">
      <c r="A1067" s="15">
        <v>202500868</v>
      </c>
      <c r="B1067" s="7" t="s">
        <v>140</v>
      </c>
    </row>
    <row r="1068" spans="1:2">
      <c r="A1068" s="14">
        <v>202500868</v>
      </c>
      <c r="B1068" s="7" t="s">
        <v>140</v>
      </c>
    </row>
    <row r="1069" spans="1:2">
      <c r="A1069" s="15">
        <v>202500868</v>
      </c>
      <c r="B1069" s="7" t="s">
        <v>140</v>
      </c>
    </row>
    <row r="1070" spans="1:2">
      <c r="A1070" s="14">
        <v>202500868</v>
      </c>
      <c r="B1070" s="7" t="s">
        <v>140</v>
      </c>
    </row>
    <row r="1071" spans="1:2">
      <c r="A1071" s="15">
        <v>202500868</v>
      </c>
      <c r="B1071" s="7" t="s">
        <v>140</v>
      </c>
    </row>
    <row r="1072" spans="1:2">
      <c r="A1072" s="14">
        <v>202500868</v>
      </c>
      <c r="B1072" s="7" t="s">
        <v>140</v>
      </c>
    </row>
    <row r="1073" spans="1:2">
      <c r="A1073" s="15">
        <v>202500868</v>
      </c>
      <c r="B1073" s="7" t="s">
        <v>140</v>
      </c>
    </row>
    <row r="1074" spans="1:2">
      <c r="A1074" s="14">
        <v>202500868</v>
      </c>
      <c r="B1074" s="7" t="s">
        <v>140</v>
      </c>
    </row>
    <row r="1075" spans="1:2">
      <c r="A1075" s="15">
        <v>202500868</v>
      </c>
      <c r="B1075" s="7" t="s">
        <v>140</v>
      </c>
    </row>
    <row r="1076" spans="1:2">
      <c r="A1076" s="14">
        <v>202500868</v>
      </c>
      <c r="B1076" s="7" t="s">
        <v>140</v>
      </c>
    </row>
    <row r="1077" spans="1:2">
      <c r="A1077" s="15">
        <v>202500868</v>
      </c>
      <c r="B1077" s="7" t="s">
        <v>140</v>
      </c>
    </row>
    <row r="1078" spans="1:2">
      <c r="A1078" s="14">
        <v>202500868</v>
      </c>
      <c r="B1078" s="7" t="s">
        <v>140</v>
      </c>
    </row>
    <row r="1079" spans="1:2">
      <c r="A1079" s="15">
        <v>202500868</v>
      </c>
      <c r="B1079" s="7" t="s">
        <v>140</v>
      </c>
    </row>
    <row r="1080" spans="1:2">
      <c r="A1080" s="14">
        <v>202500868</v>
      </c>
      <c r="B1080" s="7" t="s">
        <v>140</v>
      </c>
    </row>
    <row r="1081" spans="1:2">
      <c r="A1081" s="15">
        <v>202500868</v>
      </c>
      <c r="B1081" s="7" t="s">
        <v>140</v>
      </c>
    </row>
    <row r="1082" spans="1:2">
      <c r="A1082" s="14">
        <v>202500868</v>
      </c>
      <c r="B1082" s="7" t="s">
        <v>140</v>
      </c>
    </row>
    <row r="1083" spans="1:2">
      <c r="A1083" s="15">
        <v>202500868</v>
      </c>
      <c r="B1083" s="7" t="s">
        <v>140</v>
      </c>
    </row>
    <row r="1084" spans="1:2">
      <c r="A1084" s="14">
        <v>202500868</v>
      </c>
      <c r="B1084" s="7" t="s">
        <v>140</v>
      </c>
    </row>
    <row r="1085" spans="1:2">
      <c r="A1085" s="15">
        <v>202500868</v>
      </c>
      <c r="B1085" s="7" t="s">
        <v>140</v>
      </c>
    </row>
    <row r="1086" spans="1:2">
      <c r="A1086" s="14">
        <v>202500869</v>
      </c>
      <c r="B1086" s="7" t="s">
        <v>139</v>
      </c>
    </row>
    <row r="1087" spans="1:2">
      <c r="A1087" s="15">
        <v>202500869</v>
      </c>
      <c r="B1087" s="7" t="s">
        <v>139</v>
      </c>
    </row>
    <row r="1088" spans="1:2">
      <c r="A1088" s="14">
        <v>202500868</v>
      </c>
      <c r="B1088" s="7" t="s">
        <v>140</v>
      </c>
    </row>
    <row r="1089" spans="1:2">
      <c r="A1089" s="15">
        <v>202500868</v>
      </c>
      <c r="B1089" s="7" t="s">
        <v>140</v>
      </c>
    </row>
    <row r="1090" spans="1:2">
      <c r="A1090" s="14">
        <v>202500869</v>
      </c>
      <c r="B1090" s="7" t="s">
        <v>139</v>
      </c>
    </row>
    <row r="1091" spans="1:2">
      <c r="A1091" s="15">
        <v>202500869</v>
      </c>
      <c r="B1091" s="7" t="s">
        <v>139</v>
      </c>
    </row>
    <row r="1092" spans="1:2">
      <c r="A1092" s="14">
        <v>202500869</v>
      </c>
      <c r="B1092" s="7" t="s">
        <v>139</v>
      </c>
    </row>
    <row r="1093" spans="1:2">
      <c r="A1093" s="15">
        <v>202500867</v>
      </c>
      <c r="B1093" s="7" t="s">
        <v>137</v>
      </c>
    </row>
    <row r="1094" spans="1:2">
      <c r="A1094" s="14">
        <v>202500868</v>
      </c>
      <c r="B1094" s="7" t="s">
        <v>140</v>
      </c>
    </row>
    <row r="1095" spans="1:2">
      <c r="A1095" s="15">
        <v>202500867</v>
      </c>
      <c r="B1095" s="7" t="s">
        <v>137</v>
      </c>
    </row>
    <row r="1096" spans="1:2">
      <c r="A1096" s="14">
        <v>202500867</v>
      </c>
      <c r="B1096" s="7" t="s">
        <v>137</v>
      </c>
    </row>
    <row r="1097" spans="1:2">
      <c r="A1097" s="15">
        <v>202500869</v>
      </c>
      <c r="B1097" s="7" t="s">
        <v>139</v>
      </c>
    </row>
    <row r="1098" spans="1:2">
      <c r="A1098" s="14">
        <v>202500869</v>
      </c>
      <c r="B1098" s="7" t="s">
        <v>139</v>
      </c>
    </row>
    <row r="1099" spans="1:2">
      <c r="A1099" s="15">
        <v>202500869</v>
      </c>
      <c r="B1099" s="7" t="s">
        <v>139</v>
      </c>
    </row>
    <row r="1100" spans="1:2">
      <c r="A1100" s="14">
        <v>202500868</v>
      </c>
      <c r="B1100" s="7" t="s">
        <v>140</v>
      </c>
    </row>
    <row r="1101" spans="1:2">
      <c r="A1101" s="15">
        <v>202500868</v>
      </c>
      <c r="B1101" s="7" t="s">
        <v>140</v>
      </c>
    </row>
    <row r="1102" spans="1:2">
      <c r="A1102" s="14">
        <v>202500869</v>
      </c>
      <c r="B1102" s="7" t="s">
        <v>139</v>
      </c>
    </row>
    <row r="1103" spans="1:2">
      <c r="A1103" s="15">
        <v>202500868</v>
      </c>
      <c r="B1103" s="7" t="s">
        <v>140</v>
      </c>
    </row>
    <row r="1104" spans="1:2">
      <c r="A1104" s="14">
        <v>202500867</v>
      </c>
      <c r="B1104" s="7" t="s">
        <v>137</v>
      </c>
    </row>
    <row r="1105" spans="1:2">
      <c r="A1105" s="15">
        <v>202500867</v>
      </c>
      <c r="B1105" s="7" t="s">
        <v>137</v>
      </c>
    </row>
    <row r="1106" spans="1:2">
      <c r="A1106" s="14">
        <v>202500867</v>
      </c>
      <c r="B1106" s="7" t="s">
        <v>137</v>
      </c>
    </row>
    <row r="1107" spans="1:2">
      <c r="A1107" s="15">
        <v>202500867</v>
      </c>
      <c r="B1107" s="7" t="s">
        <v>137</v>
      </c>
    </row>
    <row r="1108" spans="1:2">
      <c r="A1108" s="14">
        <v>202500867</v>
      </c>
      <c r="B1108" s="7" t="s">
        <v>137</v>
      </c>
    </row>
    <row r="1109" spans="1:2">
      <c r="A1109" s="15">
        <v>202500867</v>
      </c>
      <c r="B1109" s="7" t="s">
        <v>137</v>
      </c>
    </row>
    <row r="1110" spans="1:2">
      <c r="A1110" s="14">
        <v>202500867</v>
      </c>
      <c r="B1110" s="7" t="s">
        <v>137</v>
      </c>
    </row>
    <row r="1111" spans="1:2">
      <c r="A1111" s="15">
        <v>202500867</v>
      </c>
      <c r="B1111" s="7" t="s">
        <v>137</v>
      </c>
    </row>
    <row r="1112" spans="1:2">
      <c r="A1112" s="14">
        <v>202500868</v>
      </c>
      <c r="B1112" s="7" t="s">
        <v>140</v>
      </c>
    </row>
    <row r="1113" spans="1:2">
      <c r="A1113" s="146">
        <v>202500869</v>
      </c>
      <c r="B1113" s="147" t="s">
        <v>139</v>
      </c>
    </row>
    <row r="1114" spans="1:2">
      <c r="A1114" s="144">
        <v>202500867</v>
      </c>
      <c r="B1114" s="7" t="s">
        <v>137</v>
      </c>
    </row>
    <row r="1115" spans="1:2">
      <c r="A1115" s="145">
        <v>202500518</v>
      </c>
      <c r="B1115" s="140" t="s">
        <v>141</v>
      </c>
    </row>
  </sheetData>
  <autoFilter ref="A1:B1" xr:uid="{D8D975B9-3E30-4250-AFB5-1F57385D4D10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A9DEEFF550CD44B88A6E68FC012E92" ma:contentTypeVersion="10" ma:contentTypeDescription="Crie um novo documento." ma:contentTypeScope="" ma:versionID="b5d39f59bb59f74c204a615b8347acc9">
  <xsd:schema xmlns:xsd="http://www.w3.org/2001/XMLSchema" xmlns:xs="http://www.w3.org/2001/XMLSchema" xmlns:p="http://schemas.microsoft.com/office/2006/metadata/properties" xmlns:ns3="9e121dc8-a27b-4739-8092-5542a3be10fa" targetNamespace="http://schemas.microsoft.com/office/2006/metadata/properties" ma:root="true" ma:fieldsID="c69139f02ab8489811ea15af6f11afdf" ns3:_="">
    <xsd:import namespace="9e121dc8-a27b-4739-8092-5542a3be10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121dc8-a27b-4739-8092-5542a3be10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e121dc8-a27b-4739-8092-5542a3be10fa" xsi:nil="true"/>
  </documentManagement>
</p:properties>
</file>

<file path=customXml/itemProps1.xml><?xml version="1.0" encoding="utf-8"?>
<ds:datastoreItem xmlns:ds="http://schemas.openxmlformats.org/officeDocument/2006/customXml" ds:itemID="{25184561-B441-4912-9777-6B4472D555F1}"/>
</file>

<file path=customXml/itemProps2.xml><?xml version="1.0" encoding="utf-8"?>
<ds:datastoreItem xmlns:ds="http://schemas.openxmlformats.org/officeDocument/2006/customXml" ds:itemID="{CDCFEB20-2CAF-4B09-9344-B7C341D296CB}"/>
</file>

<file path=customXml/itemProps3.xml><?xml version="1.0" encoding="utf-8"?>
<ds:datastoreItem xmlns:ds="http://schemas.openxmlformats.org/officeDocument/2006/customXml" ds:itemID="{D7E5AD67-2CBA-4225-83BC-4BBC07D94F4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/>
  <cp:revision/>
  <dcterms:created xsi:type="dcterms:W3CDTF">2025-08-13T18:21:27Z</dcterms:created>
  <dcterms:modified xsi:type="dcterms:W3CDTF">2025-12-30T12:45:18Z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0x01010019A9DEEFF550CD44B88A6E68FC012E92</vt:lpwstr>
  </property>
</Properties>
</file>